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F526D9E8-5B38-064B-B309-89C475DB19EA}" xr6:coauthVersionLast="47" xr6:coauthVersionMax="47" xr10:uidLastSave="{00000000-0000-0000-0000-000000000000}"/>
  <bookViews>
    <workbookView xWindow="11760" yWindow="500" windowWidth="21840" windowHeight="20500" xr2:uid="{F238D57F-E1CA-6145-9BDE-77E9755B2D31}"/>
  </bookViews>
  <sheets>
    <sheet name="Counties" sheetId="2" r:id="rId1"/>
    <sheet name="Crosswalk" sheetId="3" r:id="rId2"/>
    <sheet name="city_county" sheetId="4" r:id="rId3"/>
  </sheets>
  <definedNames>
    <definedName name="_xlnm._FilterDatabase" localSheetId="0" hidden="1">Counties!$A$1:$T$284</definedName>
    <definedName name="_xlnm._FilterDatabase" localSheetId="1" hidden="1">Crosswalk!$A$1:$B$358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9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4" i="3"/>
  <c r="C45" i="3"/>
  <c r="C46" i="3"/>
  <c r="C47" i="3"/>
  <c r="C48" i="3"/>
  <c r="C49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4" i="3"/>
  <c r="C95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8" i="3"/>
  <c r="C129" i="3"/>
  <c r="C130" i="3"/>
  <c r="C131" i="3"/>
  <c r="C132" i="3"/>
  <c r="C133" i="3"/>
  <c r="C134" i="3"/>
  <c r="C138" i="3"/>
  <c r="C139" i="3"/>
  <c r="C140" i="3"/>
  <c r="C143" i="3"/>
  <c r="C144" i="3"/>
  <c r="C145" i="3"/>
  <c r="C146" i="3"/>
  <c r="C147" i="3"/>
  <c r="C148" i="3"/>
  <c r="C149" i="3"/>
  <c r="C150" i="3"/>
  <c r="C151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7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2" i="3"/>
  <c r="C264" i="3"/>
  <c r="C265" i="3"/>
  <c r="C266" i="3"/>
  <c r="C267" i="3"/>
  <c r="C269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7" i="3"/>
  <c r="C288" i="3"/>
  <c r="C289" i="3"/>
  <c r="C290" i="3"/>
  <c r="C291" i="3"/>
  <c r="C292" i="3"/>
  <c r="C293" i="3"/>
  <c r="C294" i="3"/>
  <c r="C295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10" i="3"/>
  <c r="C311" i="3"/>
  <c r="C312" i="3"/>
  <c r="C313" i="3"/>
  <c r="C314" i="3"/>
  <c r="C316" i="3"/>
  <c r="C317" i="3"/>
  <c r="C318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2" i="3"/>
  <c r="Q172" i="2"/>
  <c r="R172" i="2"/>
  <c r="S172" i="2"/>
  <c r="Q139" i="2"/>
  <c r="R139" i="2"/>
  <c r="S139" i="2"/>
  <c r="Q136" i="2"/>
  <c r="R136" i="2"/>
  <c r="S136" i="2"/>
  <c r="Q133" i="2"/>
  <c r="R133" i="2"/>
  <c r="S133" i="2"/>
  <c r="Q101" i="2"/>
  <c r="R101" i="2"/>
  <c r="S101" i="2"/>
  <c r="R230" i="2" l="1"/>
  <c r="S230" i="2"/>
  <c r="Q230" i="2"/>
  <c r="R254" i="2"/>
  <c r="S254" i="2"/>
  <c r="Q254" i="2"/>
  <c r="Q196" i="2"/>
  <c r="R196" i="2"/>
  <c r="S196" i="2"/>
  <c r="R250" i="2"/>
  <c r="S250" i="2"/>
  <c r="Q250" i="2"/>
  <c r="R249" i="2"/>
  <c r="S249" i="2"/>
  <c r="Q249" i="2"/>
  <c r="R243" i="2"/>
  <c r="S243" i="2"/>
  <c r="Q243" i="2"/>
  <c r="R238" i="2"/>
  <c r="S238" i="2"/>
  <c r="Q238" i="2"/>
  <c r="R237" i="2"/>
  <c r="S237" i="2"/>
  <c r="Q237" i="2"/>
  <c r="R236" i="2"/>
  <c r="S236" i="2"/>
  <c r="Q236" i="2"/>
  <c r="R235" i="2"/>
  <c r="S235" i="2"/>
  <c r="Q235" i="2"/>
  <c r="R234" i="2"/>
  <c r="S234" i="2"/>
  <c r="Q234" i="2"/>
  <c r="R233" i="2"/>
  <c r="S233" i="2"/>
  <c r="Q233" i="2"/>
  <c r="R232" i="2"/>
  <c r="S232" i="2"/>
  <c r="Q232" i="2"/>
  <c r="R231" i="2"/>
  <c r="S231" i="2"/>
  <c r="Q231" i="2"/>
  <c r="R228" i="2"/>
  <c r="S228" i="2"/>
  <c r="Q228" i="2"/>
  <c r="R227" i="2"/>
  <c r="S227" i="2"/>
  <c r="Q227" i="2"/>
  <c r="R226" i="2"/>
  <c r="S226" i="2"/>
  <c r="Q226" i="2"/>
  <c r="R223" i="2"/>
  <c r="S223" i="2"/>
  <c r="Q223" i="2"/>
  <c r="R222" i="2"/>
  <c r="S222" i="2"/>
  <c r="Q222" i="2"/>
  <c r="R220" i="2"/>
  <c r="S220" i="2"/>
  <c r="Q220" i="2"/>
  <c r="R219" i="2"/>
  <c r="S219" i="2"/>
  <c r="Q219" i="2"/>
  <c r="R214" i="2"/>
  <c r="S214" i="2"/>
  <c r="Q214" i="2"/>
  <c r="R203" i="2"/>
  <c r="S203" i="2"/>
  <c r="Q203" i="2"/>
  <c r="R202" i="2"/>
  <c r="S202" i="2"/>
  <c r="Q202" i="2"/>
  <c r="R201" i="2"/>
  <c r="S201" i="2"/>
  <c r="Q201" i="2"/>
  <c r="R200" i="2"/>
  <c r="S200" i="2"/>
  <c r="Q200" i="2"/>
  <c r="R194" i="2"/>
  <c r="S194" i="2"/>
  <c r="Q194" i="2"/>
  <c r="R186" i="2"/>
  <c r="S186" i="2"/>
  <c r="Q186" i="2"/>
  <c r="R179" i="2"/>
  <c r="S179" i="2"/>
  <c r="Q179" i="2"/>
  <c r="R175" i="2"/>
  <c r="S175" i="2"/>
  <c r="Q175" i="2"/>
  <c r="R171" i="2"/>
  <c r="S171" i="2"/>
  <c r="Q171" i="2"/>
  <c r="R159" i="2"/>
  <c r="S159" i="2"/>
  <c r="Q159" i="2"/>
  <c r="R155" i="2"/>
  <c r="S155" i="2"/>
  <c r="Q155" i="2"/>
  <c r="R154" i="2"/>
  <c r="S154" i="2"/>
  <c r="Q154" i="2"/>
  <c r="R153" i="2"/>
  <c r="S153" i="2"/>
  <c r="Q153" i="2"/>
  <c r="R152" i="2"/>
  <c r="S152" i="2"/>
  <c r="Q152" i="2"/>
  <c r="Q151" i="2"/>
  <c r="R151" i="2"/>
  <c r="S151" i="2"/>
  <c r="R150" i="2"/>
  <c r="S150" i="2"/>
  <c r="Q150" i="2"/>
  <c r="R149" i="2"/>
  <c r="S149" i="2"/>
  <c r="Q149" i="2"/>
  <c r="R148" i="2"/>
  <c r="S148" i="2"/>
  <c r="Q148" i="2"/>
  <c r="R147" i="2"/>
  <c r="S147" i="2"/>
  <c r="Q147" i="2"/>
  <c r="R141" i="2"/>
  <c r="S141" i="2"/>
  <c r="Q141" i="2"/>
  <c r="R138" i="2"/>
  <c r="S138" i="2"/>
  <c r="Q138" i="2"/>
  <c r="R137" i="2"/>
  <c r="S137" i="2"/>
  <c r="Q137" i="2"/>
  <c r="R135" i="2"/>
  <c r="S135" i="2"/>
  <c r="Q135" i="2"/>
  <c r="R134" i="2"/>
  <c r="S134" i="2"/>
  <c r="Q134" i="2"/>
  <c r="R132" i="2"/>
  <c r="S132" i="2"/>
  <c r="Q132" i="2"/>
  <c r="Q131" i="2"/>
  <c r="R131" i="2"/>
  <c r="S131" i="2"/>
  <c r="Q18" i="2"/>
  <c r="Q23" i="2"/>
  <c r="Q28" i="2"/>
  <c r="Q35" i="2"/>
  <c r="Q37" i="2"/>
  <c r="Q40" i="2"/>
  <c r="Q42" i="2"/>
  <c r="Q50" i="2"/>
  <c r="Q54" i="2"/>
  <c r="Q57" i="2"/>
  <c r="Q59" i="2"/>
  <c r="Q62" i="2"/>
  <c r="Q63" i="2"/>
  <c r="Q64" i="2"/>
  <c r="Q75" i="2"/>
  <c r="Q96" i="2"/>
  <c r="Q97" i="2"/>
  <c r="Q99" i="2"/>
  <c r="Q100" i="2"/>
  <c r="Q114" i="2"/>
  <c r="Q117" i="2"/>
  <c r="Q118" i="2"/>
  <c r="Q122" i="2"/>
  <c r="Q4" i="2"/>
  <c r="R122" i="2"/>
  <c r="S122" i="2"/>
  <c r="R118" i="2"/>
  <c r="S118" i="2"/>
  <c r="R117" i="2"/>
  <c r="S117" i="2"/>
  <c r="R114" i="2"/>
  <c r="S114" i="2"/>
  <c r="R100" i="2"/>
  <c r="S100" i="2"/>
  <c r="R99" i="2"/>
  <c r="S99" i="2"/>
  <c r="R97" i="2"/>
  <c r="S97" i="2"/>
  <c r="R96" i="2"/>
  <c r="S96" i="2"/>
  <c r="R75" i="2"/>
  <c r="S75" i="2"/>
  <c r="R64" i="2"/>
  <c r="S64" i="2"/>
  <c r="R63" i="2"/>
  <c r="S63" i="2"/>
  <c r="R62" i="2"/>
  <c r="S62" i="2"/>
  <c r="R59" i="2"/>
  <c r="S59" i="2"/>
  <c r="R57" i="2"/>
  <c r="S57" i="2"/>
  <c r="R54" i="2"/>
  <c r="S54" i="2"/>
  <c r="R50" i="2"/>
  <c r="S50" i="2"/>
  <c r="R42" i="2"/>
  <c r="S42" i="2"/>
  <c r="R40" i="2"/>
  <c r="S40" i="2"/>
  <c r="R37" i="2"/>
  <c r="S37" i="2"/>
  <c r="R35" i="2"/>
  <c r="S35" i="2"/>
  <c r="R28" i="2"/>
  <c r="S28" i="2"/>
  <c r="R18" i="2"/>
  <c r="S18" i="2"/>
  <c r="R23" i="2"/>
  <c r="S23" i="2"/>
  <c r="S4" i="2"/>
  <c r="R4" i="2"/>
</calcChain>
</file>

<file path=xl/sharedStrings.xml><?xml version="1.0" encoding="utf-8"?>
<sst xmlns="http://schemas.openxmlformats.org/spreadsheetml/2006/main" count="2198" uniqueCount="476">
  <si>
    <t>BofA Branches</t>
  </si>
  <si>
    <t>Amador County</t>
  </si>
  <si>
    <t>Barstow</t>
  </si>
  <si>
    <t>Beverly Hills</t>
  </si>
  <si>
    <t>Boron</t>
  </si>
  <si>
    <t>Butte County</t>
  </si>
  <si>
    <t>Calaveras County</t>
  </si>
  <si>
    <t>Campbell</t>
  </si>
  <si>
    <t>Carpinteria</t>
  </si>
  <si>
    <t>Clarksburg</t>
  </si>
  <si>
    <t>Clements</t>
  </si>
  <si>
    <t>Coachella</t>
  </si>
  <si>
    <t>Colton</t>
  </si>
  <si>
    <t>Colusa</t>
  </si>
  <si>
    <t>Contra Costa County</t>
  </si>
  <si>
    <t>Corona</t>
  </si>
  <si>
    <t>Dixon</t>
  </si>
  <si>
    <t>Fresno</t>
  </si>
  <si>
    <t>Fresno County</t>
  </si>
  <si>
    <t>Gilroy</t>
  </si>
  <si>
    <t>Glenn and Tehama Counties</t>
  </si>
  <si>
    <t>Hemet</t>
  </si>
  <si>
    <t>Humboldt County</t>
  </si>
  <si>
    <t>Huntington Beach</t>
  </si>
  <si>
    <t>Imperial County</t>
  </si>
  <si>
    <t>Kern County</t>
  </si>
  <si>
    <t>Laguna Beach</t>
  </si>
  <si>
    <t>Lake and Mendocino Counties</t>
  </si>
  <si>
    <t>Lake Arrowhead</t>
  </si>
  <si>
    <t>Lake Tahoe</t>
  </si>
  <si>
    <t>Lancaster</t>
  </si>
  <si>
    <t>Lodi</t>
  </si>
  <si>
    <t>Lompoc</t>
  </si>
  <si>
    <t>Los Altos</t>
  </si>
  <si>
    <t>Los Angeles (Western)</t>
  </si>
  <si>
    <t>Los Angeles Northeastern Section</t>
  </si>
  <si>
    <t>Los Angeles Northwestern Section</t>
  </si>
  <si>
    <t>Los Angeles Southern Section</t>
  </si>
  <si>
    <t>Los Gatos</t>
  </si>
  <si>
    <t>Marin County</t>
  </si>
  <si>
    <t>Morgan Hill</t>
  </si>
  <si>
    <t>Napa County</t>
  </si>
  <si>
    <t>Newhall</t>
  </si>
  <si>
    <t>Ontario</t>
  </si>
  <si>
    <t>Oxnard</t>
  </si>
  <si>
    <t>Palm Springs</t>
  </si>
  <si>
    <t>Palmdale</t>
  </si>
  <si>
    <t>Palo Alto</t>
  </si>
  <si>
    <t>Pomona</t>
  </si>
  <si>
    <t>Redlands</t>
  </si>
  <si>
    <t>Richmond</t>
  </si>
  <si>
    <t>Riverside</t>
  </si>
  <si>
    <t>Roseville</t>
  </si>
  <si>
    <t>Sacramento</t>
  </si>
  <si>
    <t>San Bernardino</t>
  </si>
  <si>
    <t>San Diego County</t>
  </si>
  <si>
    <t>San Jose</t>
  </si>
  <si>
    <t>San Luis Obispo County</t>
  </si>
  <si>
    <t>San Mateo County</t>
  </si>
  <si>
    <t>Santa Barbara</t>
  </si>
  <si>
    <t>Santa Cruz County</t>
  </si>
  <si>
    <t>Santa Maria</t>
  </si>
  <si>
    <t>Santa Paula</t>
  </si>
  <si>
    <t>Santa Ynez</t>
  </si>
  <si>
    <t>Shasta County</t>
  </si>
  <si>
    <t>Sonoma County</t>
  </si>
  <si>
    <t>Southern Alameda County</t>
  </si>
  <si>
    <t>Stanislaus County</t>
  </si>
  <si>
    <t>Los Angeles Central Area</t>
  </si>
  <si>
    <t>Orange County</t>
  </si>
  <si>
    <t>San Francisco</t>
  </si>
  <si>
    <t>Kings and Tulare Counties</t>
  </si>
  <si>
    <t>Bank Share</t>
  </si>
  <si>
    <t>Lending Share</t>
  </si>
  <si>
    <t>CU Branches</t>
  </si>
  <si>
    <t>Credit Reporting Agencies</t>
  </si>
  <si>
    <t>Bank Branches</t>
  </si>
  <si>
    <t>Start Page</t>
  </si>
  <si>
    <t>Deposit Share</t>
  </si>
  <si>
    <t xml:space="preserve">Finco Branches </t>
  </si>
  <si>
    <t>Notes:</t>
  </si>
  <si>
    <t>Exclude "Loans" Section -- it's all double-counting</t>
  </si>
  <si>
    <t>S&amp;L branches</t>
  </si>
  <si>
    <t xml:space="preserve">Example where excluding "Loans" section excludes real lenders… </t>
  </si>
  <si>
    <t>Monterey and San Benito Counties</t>
  </si>
  <si>
    <t>"Financing" Section is only for "Finance Companies" - exclude banks, CUs, and S&amp;Ls (covered elsewhere) and "Credit Counseling" (irrelevant)</t>
  </si>
  <si>
    <t xml:space="preserve">Missing "Loans" and "Collections Agency" sections… </t>
  </si>
  <si>
    <t>Geography</t>
  </si>
  <si>
    <t>Card_intro</t>
  </si>
  <si>
    <t>Coding error from HITEC</t>
  </si>
  <si>
    <t>fipscty</t>
  </si>
  <si>
    <t>Bloomington</t>
  </si>
  <si>
    <t>Fair Oaks</t>
  </si>
  <si>
    <t>Novato</t>
  </si>
  <si>
    <t>Oakland</t>
  </si>
  <si>
    <t>Yolo County</t>
  </si>
  <si>
    <t>fipstate</t>
  </si>
  <si>
    <t>Bessemer</t>
  </si>
  <si>
    <t>State</t>
  </si>
  <si>
    <t>CA</t>
  </si>
  <si>
    <t>AL</t>
  </si>
  <si>
    <t>Birmingham</t>
  </si>
  <si>
    <t>Fairhope</t>
  </si>
  <si>
    <t>Florence</t>
  </si>
  <si>
    <t>Gardendale</t>
  </si>
  <si>
    <t>Mobile</t>
  </si>
  <si>
    <t>Montgomery</t>
  </si>
  <si>
    <t>New Hope</t>
  </si>
  <si>
    <t>AK</t>
  </si>
  <si>
    <t>Anchorage</t>
  </si>
  <si>
    <t>Fairbanks</t>
  </si>
  <si>
    <t>AZ</t>
  </si>
  <si>
    <t>Benson</t>
  </si>
  <si>
    <t xml:space="preserve">Bell System Credit Cards are not comparable </t>
  </si>
  <si>
    <t>1963+</t>
  </si>
  <si>
    <t>1964+</t>
  </si>
  <si>
    <t>Tucson</t>
  </si>
  <si>
    <t>Phoenix</t>
  </si>
  <si>
    <t>AR</t>
  </si>
  <si>
    <t>Little Rock</t>
  </si>
  <si>
    <t>Camden</t>
  </si>
  <si>
    <t>1961+</t>
  </si>
  <si>
    <t>1962+</t>
  </si>
  <si>
    <t>1969+</t>
  </si>
  <si>
    <t>Bridgeport</t>
  </si>
  <si>
    <t>CT</t>
  </si>
  <si>
    <t>Bristol</t>
  </si>
  <si>
    <t>Cheshire</t>
  </si>
  <si>
    <t>Clinton</t>
  </si>
  <si>
    <t>1960+</t>
  </si>
  <si>
    <t>Danbury</t>
  </si>
  <si>
    <t>Manchester</t>
  </si>
  <si>
    <t>Darien</t>
  </si>
  <si>
    <t>Greenwich</t>
  </si>
  <si>
    <t>Hartford</t>
  </si>
  <si>
    <t>Meridien</t>
  </si>
  <si>
    <t>Middletown</t>
  </si>
  <si>
    <t>Milford</t>
  </si>
  <si>
    <t>New Britain</t>
  </si>
  <si>
    <t>1971+</t>
  </si>
  <si>
    <t>New Haven</t>
  </si>
  <si>
    <t>New London</t>
  </si>
  <si>
    <t>New Milford</t>
  </si>
  <si>
    <t>Norwalk</t>
  </si>
  <si>
    <t>Norwich</t>
  </si>
  <si>
    <t>1970+</t>
  </si>
  <si>
    <t>Putnam</t>
  </si>
  <si>
    <t>1968+</t>
  </si>
  <si>
    <t>Saybrook</t>
  </si>
  <si>
    <t>1967+</t>
  </si>
  <si>
    <t>Stamford</t>
  </si>
  <si>
    <t>Torrington</t>
  </si>
  <si>
    <t>1965+</t>
  </si>
  <si>
    <t>Waterbury</t>
  </si>
  <si>
    <t>Willimantic</t>
  </si>
  <si>
    <t>Wilmington</t>
  </si>
  <si>
    <t>DE</t>
  </si>
  <si>
    <t>Arcadia</t>
  </si>
  <si>
    <t>FL</t>
  </si>
  <si>
    <t>Bartow</t>
  </si>
  <si>
    <t>Bradenton</t>
  </si>
  <si>
    <t>Clearwater</t>
  </si>
  <si>
    <t>Crestview</t>
  </si>
  <si>
    <t>Fort Lauderdale</t>
  </si>
  <si>
    <t>Fort Myers</t>
  </si>
  <si>
    <t>Jacksonville</t>
  </si>
  <si>
    <t>Lake Wales</t>
  </si>
  <si>
    <t>Miami</t>
  </si>
  <si>
    <t>Orlando</t>
  </si>
  <si>
    <t>Pensacola</t>
  </si>
  <si>
    <t>Sarasota</t>
  </si>
  <si>
    <t>St Petersburg</t>
  </si>
  <si>
    <t>Tampa</t>
  </si>
  <si>
    <t>West Palm Beach</t>
  </si>
  <si>
    <t>Atlanta</t>
  </si>
  <si>
    <t>GA</t>
  </si>
  <si>
    <t>Columbus</t>
  </si>
  <si>
    <t>Macon</t>
  </si>
  <si>
    <t>Savannah</t>
  </si>
  <si>
    <t>Honolulu</t>
  </si>
  <si>
    <t>HI</t>
  </si>
  <si>
    <t>Island of Hawaii</t>
  </si>
  <si>
    <t>Wailuku</t>
  </si>
  <si>
    <t>IA</t>
  </si>
  <si>
    <t>Ames</t>
  </si>
  <si>
    <t>1970-</t>
  </si>
  <si>
    <t>Atlantic</t>
  </si>
  <si>
    <t>Bellevue</t>
  </si>
  <si>
    <t>1983+</t>
  </si>
  <si>
    <t>Burlington</t>
  </si>
  <si>
    <t>Cedar Rapids</t>
  </si>
  <si>
    <t>Council Bluffs</t>
  </si>
  <si>
    <t>Davenport</t>
  </si>
  <si>
    <t>Des Moines</t>
  </si>
  <si>
    <t>Dubuque</t>
  </si>
  <si>
    <t>Guthrie Center</t>
  </si>
  <si>
    <t>Hampton</t>
  </si>
  <si>
    <t>Hamburg</t>
  </si>
  <si>
    <t>Iowa City</t>
  </si>
  <si>
    <t>Iowa Falls</t>
  </si>
  <si>
    <t>Marshalltown</t>
  </si>
  <si>
    <t>Mason City</t>
  </si>
  <si>
    <t>Muscatine</t>
  </si>
  <si>
    <t>Oskaloosa</t>
  </si>
  <si>
    <t>Ottumwa</t>
  </si>
  <si>
    <t>Shenandoah</t>
  </si>
  <si>
    <t>Sioux City</t>
  </si>
  <si>
    <t>Storm Lake</t>
  </si>
  <si>
    <t>Waterloo</t>
  </si>
  <si>
    <t>Webster City</t>
  </si>
  <si>
    <t>Baltimore</t>
  </si>
  <si>
    <t>MD</t>
  </si>
  <si>
    <t>Clarksville</t>
  </si>
  <si>
    <t>Carroll County</t>
  </si>
  <si>
    <t>Cecil County</t>
  </si>
  <si>
    <t>Frederick County</t>
  </si>
  <si>
    <t>Harford County</t>
  </si>
  <si>
    <t>Kent County</t>
  </si>
  <si>
    <t>Queene Anne's County</t>
  </si>
  <si>
    <t>Rising Sun</t>
  </si>
  <si>
    <t>1972+</t>
  </si>
  <si>
    <t>Washington County</t>
  </si>
  <si>
    <t>Westminster</t>
  </si>
  <si>
    <t>1972-</t>
  </si>
  <si>
    <t>Aliquippa</t>
  </si>
  <si>
    <t>PA</t>
  </si>
  <si>
    <t>Allentown</t>
  </si>
  <si>
    <t>Ambridge</t>
  </si>
  <si>
    <t>Ashland</t>
  </si>
  <si>
    <t>Bangor</t>
  </si>
  <si>
    <t>Blairsville</t>
  </si>
  <si>
    <t>Bradford</t>
  </si>
  <si>
    <t>Butler</t>
  </si>
  <si>
    <t>Carbondale</t>
  </si>
  <si>
    <t>Chambersburg</t>
  </si>
  <si>
    <t>Clarks Summit</t>
  </si>
  <si>
    <t>Clearfield</t>
  </si>
  <si>
    <t>Coatesville</t>
  </si>
  <si>
    <t>Columbia</t>
  </si>
  <si>
    <t>Dallas</t>
  </si>
  <si>
    <t>Dauphin</t>
  </si>
  <si>
    <t>Delaware County</t>
  </si>
  <si>
    <t>Doylestown</t>
  </si>
  <si>
    <t>Dubois</t>
  </si>
  <si>
    <t>Eastern Montgomery County</t>
  </si>
  <si>
    <t>Easton</t>
  </si>
  <si>
    <t>Edensburg</t>
  </si>
  <si>
    <t>Elizabethville</t>
  </si>
  <si>
    <t>Erie</t>
  </si>
  <si>
    <t>Greensburg</t>
  </si>
  <si>
    <t>Grove City</t>
  </si>
  <si>
    <t>Harrisburg</t>
  </si>
  <si>
    <t>Hazleton</t>
  </si>
  <si>
    <t>Johnstown</t>
  </si>
  <si>
    <t>Landsdale</t>
  </si>
  <si>
    <t>Littlestown</t>
  </si>
  <si>
    <t>Lower Bucks County</t>
  </si>
  <si>
    <t>Mckeesport</t>
  </si>
  <si>
    <t>Mechanicsburg</t>
  </si>
  <si>
    <t>Monessen</t>
  </si>
  <si>
    <t>Monroeville</t>
  </si>
  <si>
    <t>Moosic</t>
  </si>
  <si>
    <t>Mount Carmel</t>
  </si>
  <si>
    <t>Nanicoke</t>
  </si>
  <si>
    <t>New Kensington</t>
  </si>
  <si>
    <t>Norristown</t>
  </si>
  <si>
    <t>North Pittsburgh</t>
  </si>
  <si>
    <t>Philadelphia</t>
  </si>
  <si>
    <t>Phillipsburg</t>
  </si>
  <si>
    <t>Phoenixville</t>
  </si>
  <si>
    <t>1977+</t>
  </si>
  <si>
    <t>Pittsburgh</t>
  </si>
  <si>
    <t>CREDAK</t>
  </si>
  <si>
    <t>Pittsburgh North Suburban</t>
  </si>
  <si>
    <t>Pittston</t>
  </si>
  <si>
    <t>1969-1973</t>
  </si>
  <si>
    <t>Quarryville</t>
  </si>
  <si>
    <t>Reading</t>
  </si>
  <si>
    <t>Scranton</t>
  </si>
  <si>
    <t>Shickshinny</t>
  </si>
  <si>
    <t>1978+</t>
  </si>
  <si>
    <t>Southern Chester County</t>
  </si>
  <si>
    <t>Towanda</t>
  </si>
  <si>
    <t>Tower City</t>
  </si>
  <si>
    <t>1976+</t>
  </si>
  <si>
    <t>Tyrone</t>
  </si>
  <si>
    <t>Vandergrift</t>
  </si>
  <si>
    <t>1980+</t>
  </si>
  <si>
    <t>Warren</t>
  </si>
  <si>
    <t>Wariors Mark</t>
  </si>
  <si>
    <t>Waynesboro</t>
  </si>
  <si>
    <t>1979+</t>
  </si>
  <si>
    <t>Waynesburg</t>
  </si>
  <si>
    <t>Western Delaware County</t>
  </si>
  <si>
    <t>Williamsport</t>
  </si>
  <si>
    <t>1973-1975</t>
  </si>
  <si>
    <t>York</t>
  </si>
  <si>
    <t>Zelienople</t>
  </si>
  <si>
    <t>DC</t>
  </si>
  <si>
    <t>Flagstaff</t>
  </si>
  <si>
    <t>Hayden</t>
  </si>
  <si>
    <t>Nogales</t>
  </si>
  <si>
    <t>Blytheville</t>
  </si>
  <si>
    <t>El Dorado</t>
  </si>
  <si>
    <t>Fayetteville</t>
  </si>
  <si>
    <t>Fort Smith</t>
  </si>
  <si>
    <t>Van Buren</t>
  </si>
  <si>
    <t>Barling</t>
  </si>
  <si>
    <t>Hot Springs</t>
  </si>
  <si>
    <t>Jones Mills</t>
  </si>
  <si>
    <t>Leachville</t>
  </si>
  <si>
    <t>Paris</t>
  </si>
  <si>
    <t>Pine Bluff</t>
  </si>
  <si>
    <t>Russellville</t>
  </si>
  <si>
    <t>West Memphis</t>
  </si>
  <si>
    <t>Baltimore County</t>
  </si>
  <si>
    <t>Chicago</t>
  </si>
  <si>
    <t>IL</t>
  </si>
  <si>
    <t>Bankamericard</t>
  </si>
  <si>
    <t>Program</t>
  </si>
  <si>
    <t>Trip-Charge</t>
  </si>
  <si>
    <t>Merchants listed?</t>
  </si>
  <si>
    <t>Page</t>
  </si>
  <si>
    <t>Index</t>
  </si>
  <si>
    <t>Banning</t>
  </si>
  <si>
    <t>Flat Rock</t>
  </si>
  <si>
    <t>Huntsville</t>
  </si>
  <si>
    <t>Tuscaloosa</t>
  </si>
  <si>
    <t>Ad claiming 3,000 merchants</t>
  </si>
  <si>
    <t xml:space="preserve">CNB </t>
  </si>
  <si>
    <t>FNB</t>
  </si>
  <si>
    <t xml:space="preserve">Birmingham Trust </t>
  </si>
  <si>
    <t>CBT</t>
  </si>
  <si>
    <t>Uni-card</t>
  </si>
  <si>
    <t>National Credit Card Inc</t>
  </si>
  <si>
    <t>Industrial National Bank</t>
  </si>
  <si>
    <t>OPMAC</t>
  </si>
  <si>
    <t>Augusta</t>
  </si>
  <si>
    <t>Cairo</t>
  </si>
  <si>
    <t>Calhoun</t>
  </si>
  <si>
    <t>1984+</t>
  </si>
  <si>
    <t>Buyers Credit Corp</t>
  </si>
  <si>
    <t>Kamaaina Charge Club</t>
  </si>
  <si>
    <t>Advertises "thousands of stores"</t>
  </si>
  <si>
    <t>Bankamericard, Master Charge</t>
  </si>
  <si>
    <t>First Charge Account Service</t>
  </si>
  <si>
    <t>Charg-it</t>
  </si>
  <si>
    <t>General Electric Credit Corp</t>
  </si>
  <si>
    <t>First Penna Banking &amp; Trust</t>
  </si>
  <si>
    <t>Peoples Charge Service</t>
  </si>
  <si>
    <t>"225 Stores affiliated"</t>
  </si>
  <si>
    <t>MasterCharge</t>
  </si>
  <si>
    <t>MPC</t>
  </si>
  <si>
    <t>Pittsburgh National Charge Card</t>
  </si>
  <si>
    <t>VISA</t>
  </si>
  <si>
    <t>NAC</t>
  </si>
  <si>
    <t>Washington, DC</t>
  </si>
  <si>
    <t>Central Charge Service</t>
  </si>
  <si>
    <t>city_county</t>
  </si>
  <si>
    <t xml:space="preserve">geography </t>
  </si>
  <si>
    <t>Juneau</t>
  </si>
  <si>
    <t>Duncan Thru Elfrida</t>
  </si>
  <si>
    <t>Globe</t>
  </si>
  <si>
    <t>Mammoth</t>
  </si>
  <si>
    <t>Marana Thru Mesa</t>
  </si>
  <si>
    <t>Metropolitan Phoenix Area</t>
  </si>
  <si>
    <t>Phoenix - Spring</t>
  </si>
  <si>
    <t>Yuma</t>
  </si>
  <si>
    <t>Yuma Thru Yuma</t>
  </si>
  <si>
    <t>Crittenden County</t>
  </si>
  <si>
    <t>Fort Smith thru Fort Smith, Van Buren, Barling</t>
  </si>
  <si>
    <t>Fort Smith, Van Buren, Barling</t>
  </si>
  <si>
    <t>Fort Smith, Van Buren, Barling thru Fort Smith, Van Buren</t>
  </si>
  <si>
    <t>Hot Springs, Jones Mills</t>
  </si>
  <si>
    <t>Jonesboro, Nettleton thru Jonesboro</t>
  </si>
  <si>
    <t>Greater Little Rock</t>
  </si>
  <si>
    <t>Greater Little Rock thru Little Rock, North Little Rock</t>
  </si>
  <si>
    <t>Little Rock, North Little Rock</t>
  </si>
  <si>
    <t>Monette</t>
  </si>
  <si>
    <t>Piggott</t>
  </si>
  <si>
    <t>Alameda County thru Southern Alameda County</t>
  </si>
  <si>
    <t>Alhambra</t>
  </si>
  <si>
    <t>Big Pine</t>
  </si>
  <si>
    <t>Ducor</t>
  </si>
  <si>
    <t>Lake And Mendocino Counties</t>
  </si>
  <si>
    <t>Hayward</t>
  </si>
  <si>
    <t>Modesto</t>
  </si>
  <si>
    <t>Modoc County thru Monrovia</t>
  </si>
  <si>
    <t>Monterey - San Benito Counties</t>
  </si>
  <si>
    <t>Monterey</t>
  </si>
  <si>
    <t>San Barbara</t>
  </si>
  <si>
    <t>Santa Monica</t>
  </si>
  <si>
    <t>Sierra Madre</t>
  </si>
  <si>
    <t>Madre - Northeastern Section</t>
  </si>
  <si>
    <t>Clifton</t>
  </si>
  <si>
    <t>Colorado Springs</t>
  </si>
  <si>
    <t>Colorado Springs Summer</t>
  </si>
  <si>
    <t>Metropolitan Denver</t>
  </si>
  <si>
    <t>Alamosa</t>
  </si>
  <si>
    <t>Aspen</t>
  </si>
  <si>
    <t>Boulder</t>
  </si>
  <si>
    <t>Canon City</t>
  </si>
  <si>
    <t>Bridegeport</t>
  </si>
  <si>
    <t>Darien - New Canaan, Norwalk</t>
  </si>
  <si>
    <t>Windsor Locks</t>
  </si>
  <si>
    <t>Meriden</t>
  </si>
  <si>
    <t>Winsted</t>
  </si>
  <si>
    <t>Washington Metropolitan</t>
  </si>
  <si>
    <t>Cardiff thru Carroll County</t>
  </si>
  <si>
    <t>Baltimore Suburban West</t>
  </si>
  <si>
    <t>Baltimore Suburban</t>
  </si>
  <si>
    <t>Kent and Queen Anne's Counties</t>
  </si>
  <si>
    <t>Northeastern MD. Aberdeen</t>
  </si>
  <si>
    <t>Olney</t>
  </si>
  <si>
    <t>Wicomico County</t>
  </si>
  <si>
    <t>Towson</t>
  </si>
  <si>
    <t>Alta Vista</t>
  </si>
  <si>
    <t>Boone</t>
  </si>
  <si>
    <t>Cedar Falls</t>
  </si>
  <si>
    <t>Clear Lake</t>
  </si>
  <si>
    <t>Davenport¬¨‚Ä†</t>
  </si>
  <si>
    <t>Fort Dodge</t>
  </si>
  <si>
    <t>Fort Madison</t>
  </si>
  <si>
    <t>Guthrie Center To Hampton</t>
  </si>
  <si>
    <t>Keokuk</t>
  </si>
  <si>
    <t>Toccoa - Spring</t>
  </si>
  <si>
    <t>Siouxland</t>
  </si>
  <si>
    <t>Spencer To Spirit Lake</t>
  </si>
  <si>
    <t>Cairo thru Calhoun</t>
  </si>
  <si>
    <t>Island Of Hawaii</t>
  </si>
  <si>
    <t>Hollywood</t>
  </si>
  <si>
    <t>Lakeland</t>
  </si>
  <si>
    <t>Miami thru Miami Beach Community</t>
  </si>
  <si>
    <t>Miami thru Miami Beach Community Buyers' Guide</t>
  </si>
  <si>
    <t>St.Petersburg</t>
  </si>
  <si>
    <t>Everett Thru Export</t>
  </si>
  <si>
    <t>Indiana</t>
  </si>
  <si>
    <t>Irwin</t>
  </si>
  <si>
    <t>Connellsville</t>
  </si>
  <si>
    <t>Derry</t>
  </si>
  <si>
    <t>Donora</t>
  </si>
  <si>
    <t>Ebensburg</t>
  </si>
  <si>
    <t>Tallahassee</t>
  </si>
  <si>
    <t>Winter Park</t>
  </si>
  <si>
    <t>Bethlehem</t>
  </si>
  <si>
    <t>Brockway Thru Brookside</t>
  </si>
  <si>
    <t>Brownsville</t>
  </si>
  <si>
    <t>Carlisle</t>
  </si>
  <si>
    <t>West Palm Beach thru Greater West Palm Beach</t>
  </si>
  <si>
    <t>Greater West Palm Beach</t>
  </si>
  <si>
    <t>Altoona</t>
  </si>
  <si>
    <t>Beaver Valley</t>
  </si>
  <si>
    <t>Lewistown</t>
  </si>
  <si>
    <t>Meadville</t>
  </si>
  <si>
    <t>Jim Thorpe</t>
  </si>
  <si>
    <t>Mifflintown</t>
  </si>
  <si>
    <t>Mt. Pleasant</t>
  </si>
  <si>
    <t>Nanyt - Glo</t>
  </si>
  <si>
    <t>New Castle</t>
  </si>
  <si>
    <t>New Kensignton</t>
  </si>
  <si>
    <t>Suburban Philadelphia</t>
  </si>
  <si>
    <t>Phillipsburb</t>
  </si>
  <si>
    <t>Phoeixville</t>
  </si>
  <si>
    <t>Pittsburgh Classified</t>
  </si>
  <si>
    <t>Warriors Mark</t>
  </si>
  <si>
    <t>West Chester</t>
  </si>
  <si>
    <t>Pittsburgh Northeast Suburban</t>
  </si>
  <si>
    <t>Pittsburgh South</t>
  </si>
  <si>
    <t>Western Main Line</t>
  </si>
  <si>
    <t>Pottstown</t>
  </si>
  <si>
    <t>Pottsville</t>
  </si>
  <si>
    <t>Shenango Valley</t>
  </si>
  <si>
    <t>Snyder County</t>
  </si>
  <si>
    <t>geography_new</t>
  </si>
  <si>
    <t xml:space="preserve">Pittsburgh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</si>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</sst>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54B4-2FC8-3842-BC39-F5CCE40D73EC}">
  <dimension ref="A1:W284"/>
  <sheetViews>
    <sheetView tabSelected="1" workbookViewId="0">
      <pane xSplit="1" ySplit="1" topLeftCell="B82" activePane="bottomRight" state="frozen"/>
      <selection pane="topRight" activeCell="B1" sqref="B1"/>
      <selection pane="bottomLeft" activeCell="A2" sqref="A2"/>
      <selection pane="bottomRight" activeCell="D96" sqref="D96"/>
    </sheetView>
  </sheetViews>
  <sheetFormatPr baseColWidth="10" defaultRowHeight="16" outlineLevelCol="1" x14ac:dyDescent="0.2"/>
  <cols>
    <col min="1" max="1" width="29.83203125" bestFit="1" customWidth="1"/>
    <col min="2" max="2" width="7.1640625" customWidth="1"/>
    <col min="3" max="3" width="7.5" bestFit="1" customWidth="1"/>
    <col min="4" max="4" width="6.6640625" bestFit="1" customWidth="1"/>
    <col min="5" max="5" width="14.1640625" customWidth="1"/>
    <col min="6" max="6" width="13.5" bestFit="1" customWidth="1"/>
    <col min="7" max="7" width="13.5" hidden="1" customWidth="1" outlineLevel="1"/>
    <col min="8" max="8" width="14.6640625" hidden="1" customWidth="1" outlineLevel="1"/>
    <col min="9" max="9" width="14.6640625" bestFit="1" customWidth="1" collapsed="1"/>
    <col min="10" max="10" width="9.6640625" hidden="1" customWidth="1" outlineLevel="1"/>
    <col min="11" max="11" width="13.1640625" hidden="1" customWidth="1" outlineLevel="1"/>
    <col min="12" max="12" width="13.33203125" hidden="1" customWidth="1" outlineLevel="1"/>
    <col min="13" max="13" width="22.6640625" hidden="1" customWidth="1" outlineLevel="1"/>
    <col min="14" max="14" width="11.5" hidden="1" customWidth="1" outlineLevel="1"/>
    <col min="15" max="15" width="14" hidden="1" customWidth="1" outlineLevel="1"/>
    <col min="16" max="16" width="12.1640625" hidden="1" customWidth="1" outlineLevel="1"/>
    <col min="17" max="17" width="10.5" hidden="1" customWidth="1" outlineLevel="1"/>
    <col min="18" max="18" width="12.6640625" hidden="1" customWidth="1" outlineLevel="1"/>
    <col min="19" max="19" width="19.1640625" hidden="1" customWidth="1" outlineLevel="1"/>
    <col min="20" max="20" width="10.83203125" collapsed="1"/>
  </cols>
  <sheetData>
    <row r="1" spans="1:23" x14ac:dyDescent="0.2">
      <c r="A1" s="1" t="s">
        <v>87</v>
      </c>
      <c r="B1" s="1" t="s">
        <v>98</v>
      </c>
      <c r="C1" s="1" t="s">
        <v>96</v>
      </c>
      <c r="D1" s="1" t="s">
        <v>90</v>
      </c>
      <c r="E1" s="1" t="s">
        <v>88</v>
      </c>
      <c r="F1" s="1" t="s">
        <v>319</v>
      </c>
      <c r="G1" s="1" t="s">
        <v>323</v>
      </c>
      <c r="H1" s="1" t="s">
        <v>322</v>
      </c>
      <c r="I1" s="1" t="s">
        <v>321</v>
      </c>
      <c r="J1" s="1" t="s">
        <v>77</v>
      </c>
      <c r="K1" s="1" t="s">
        <v>0</v>
      </c>
      <c r="L1" s="1" t="s">
        <v>76</v>
      </c>
      <c r="M1" s="1" t="s">
        <v>75</v>
      </c>
      <c r="N1" s="1" t="s">
        <v>74</v>
      </c>
      <c r="O1" s="1" t="s">
        <v>79</v>
      </c>
      <c r="P1" s="1" t="s">
        <v>82</v>
      </c>
      <c r="Q1" s="1" t="s">
        <v>72</v>
      </c>
      <c r="R1" s="1" t="s">
        <v>78</v>
      </c>
      <c r="S1" s="1" t="s">
        <v>73</v>
      </c>
      <c r="T1" s="1" t="s">
        <v>80</v>
      </c>
      <c r="V1" s="1"/>
    </row>
    <row r="2" spans="1:23" x14ac:dyDescent="0.2">
      <c r="A2" t="s">
        <v>224</v>
      </c>
      <c r="B2" t="s">
        <v>225</v>
      </c>
      <c r="C2">
        <v>42</v>
      </c>
      <c r="D2">
        <v>7</v>
      </c>
      <c r="E2" t="s">
        <v>122</v>
      </c>
    </row>
    <row r="3" spans="1:23" x14ac:dyDescent="0.2">
      <c r="A3" t="s">
        <v>226</v>
      </c>
      <c r="B3" t="s">
        <v>225</v>
      </c>
      <c r="C3">
        <v>42</v>
      </c>
      <c r="D3">
        <v>77</v>
      </c>
      <c r="E3" t="s">
        <v>114</v>
      </c>
    </row>
    <row r="4" spans="1:23" x14ac:dyDescent="0.2">
      <c r="A4" t="s">
        <v>1</v>
      </c>
      <c r="B4" t="s">
        <v>99</v>
      </c>
      <c r="C4">
        <v>6</v>
      </c>
      <c r="D4">
        <v>5</v>
      </c>
      <c r="E4">
        <v>1960</v>
      </c>
      <c r="F4" t="s">
        <v>318</v>
      </c>
      <c r="G4">
        <v>1419</v>
      </c>
      <c r="H4">
        <v>204</v>
      </c>
      <c r="I4">
        <v>1</v>
      </c>
      <c r="J4">
        <v>432</v>
      </c>
      <c r="K4">
        <v>12</v>
      </c>
      <c r="L4">
        <v>22</v>
      </c>
      <c r="M4">
        <v>3</v>
      </c>
      <c r="N4">
        <v>0</v>
      </c>
      <c r="O4">
        <v>15</v>
      </c>
      <c r="P4">
        <v>5</v>
      </c>
      <c r="Q4" s="2">
        <f>K4/L4</f>
        <v>0.54545454545454541</v>
      </c>
      <c r="R4" s="2">
        <f>K4/(L4+N4+P4)</f>
        <v>0.44444444444444442</v>
      </c>
      <c r="S4" s="2">
        <f>K4/(L4+N4+O4+P4)</f>
        <v>0.2857142857142857</v>
      </c>
      <c r="T4" t="s">
        <v>85</v>
      </c>
    </row>
    <row r="5" spans="1:23" x14ac:dyDescent="0.2">
      <c r="A5" t="s">
        <v>227</v>
      </c>
      <c r="B5" t="s">
        <v>225</v>
      </c>
      <c r="C5">
        <v>42</v>
      </c>
      <c r="D5">
        <v>7</v>
      </c>
      <c r="E5" t="s">
        <v>115</v>
      </c>
    </row>
    <row r="6" spans="1:23" x14ac:dyDescent="0.2">
      <c r="A6" t="s">
        <v>184</v>
      </c>
      <c r="B6" t="s">
        <v>183</v>
      </c>
      <c r="C6">
        <v>19</v>
      </c>
      <c r="D6">
        <v>169</v>
      </c>
      <c r="E6" t="s">
        <v>185</v>
      </c>
      <c r="F6" t="s">
        <v>344</v>
      </c>
      <c r="I6">
        <v>1</v>
      </c>
    </row>
    <row r="7" spans="1:23" x14ac:dyDescent="0.2">
      <c r="A7" t="s">
        <v>109</v>
      </c>
      <c r="B7" t="s">
        <v>108</v>
      </c>
      <c r="C7">
        <v>2</v>
      </c>
      <c r="D7">
        <v>20</v>
      </c>
      <c r="E7" t="s">
        <v>147</v>
      </c>
    </row>
    <row r="8" spans="1:23" x14ac:dyDescent="0.2">
      <c r="A8" t="s">
        <v>157</v>
      </c>
      <c r="B8" t="s">
        <v>158</v>
      </c>
      <c r="C8">
        <v>12</v>
      </c>
      <c r="D8">
        <v>27</v>
      </c>
      <c r="E8" t="s">
        <v>115</v>
      </c>
    </row>
    <row r="9" spans="1:23" x14ac:dyDescent="0.2">
      <c r="A9" t="s">
        <v>228</v>
      </c>
      <c r="B9" t="s">
        <v>225</v>
      </c>
      <c r="C9">
        <v>42</v>
      </c>
      <c r="D9">
        <v>107</v>
      </c>
      <c r="E9" t="s">
        <v>122</v>
      </c>
    </row>
    <row r="10" spans="1:23" x14ac:dyDescent="0.2">
      <c r="A10" t="s">
        <v>174</v>
      </c>
      <c r="B10" t="s">
        <v>175</v>
      </c>
      <c r="C10">
        <v>13</v>
      </c>
      <c r="D10">
        <v>121</v>
      </c>
      <c r="E10" t="s">
        <v>114</v>
      </c>
    </row>
    <row r="11" spans="1:23" x14ac:dyDescent="0.2">
      <c r="A11" t="s">
        <v>186</v>
      </c>
      <c r="B11" t="s">
        <v>183</v>
      </c>
      <c r="C11">
        <v>19</v>
      </c>
      <c r="D11">
        <v>29</v>
      </c>
      <c r="E11" t="s">
        <v>114</v>
      </c>
      <c r="W11" t="s">
        <v>475</v>
      </c>
    </row>
    <row r="12" spans="1:23" x14ac:dyDescent="0.2">
      <c r="A12" t="s">
        <v>337</v>
      </c>
      <c r="B12" t="s">
        <v>175</v>
      </c>
      <c r="C12">
        <v>13</v>
      </c>
      <c r="D12">
        <v>245</v>
      </c>
      <c r="E12" t="s">
        <v>114</v>
      </c>
    </row>
    <row r="13" spans="1:23" x14ac:dyDescent="0.2">
      <c r="A13" t="s">
        <v>210</v>
      </c>
      <c r="B13" t="s">
        <v>211</v>
      </c>
      <c r="C13">
        <v>24</v>
      </c>
      <c r="D13">
        <v>510</v>
      </c>
      <c r="E13">
        <v>1958</v>
      </c>
      <c r="F13" t="s">
        <v>346</v>
      </c>
      <c r="I13">
        <v>0</v>
      </c>
    </row>
    <row r="14" spans="1:23" x14ac:dyDescent="0.2">
      <c r="A14" t="s">
        <v>315</v>
      </c>
      <c r="B14" t="s">
        <v>211</v>
      </c>
      <c r="C14">
        <v>24</v>
      </c>
      <c r="D14">
        <v>5</v>
      </c>
      <c r="E14">
        <v>1963</v>
      </c>
      <c r="F14" t="s">
        <v>346</v>
      </c>
      <c r="I14">
        <v>0</v>
      </c>
    </row>
    <row r="15" spans="1:23" x14ac:dyDescent="0.2">
      <c r="A15" t="s">
        <v>229</v>
      </c>
      <c r="B15" t="s">
        <v>225</v>
      </c>
      <c r="C15">
        <v>42</v>
      </c>
      <c r="D15">
        <v>95</v>
      </c>
      <c r="E15" t="s">
        <v>122</v>
      </c>
    </row>
    <row r="16" spans="1:23" x14ac:dyDescent="0.2">
      <c r="A16" t="s">
        <v>324</v>
      </c>
      <c r="B16" t="s">
        <v>99</v>
      </c>
      <c r="C16">
        <v>6</v>
      </c>
      <c r="D16">
        <v>65</v>
      </c>
      <c r="E16" t="s">
        <v>129</v>
      </c>
      <c r="Q16" s="2"/>
      <c r="R16" s="2"/>
      <c r="S16" s="2"/>
    </row>
    <row r="17" spans="1:20" x14ac:dyDescent="0.2">
      <c r="A17" t="s">
        <v>307</v>
      </c>
      <c r="B17" t="s">
        <v>118</v>
      </c>
      <c r="C17">
        <v>5</v>
      </c>
      <c r="D17">
        <v>131</v>
      </c>
      <c r="E17" t="s">
        <v>114</v>
      </c>
    </row>
    <row r="18" spans="1:20" x14ac:dyDescent="0.2">
      <c r="A18" t="s">
        <v>2</v>
      </c>
      <c r="B18" t="s">
        <v>99</v>
      </c>
      <c r="C18">
        <v>6</v>
      </c>
      <c r="D18">
        <v>71</v>
      </c>
      <c r="E18">
        <v>1960</v>
      </c>
      <c r="F18" t="s">
        <v>318</v>
      </c>
      <c r="G18">
        <v>1459</v>
      </c>
      <c r="H18">
        <v>196</v>
      </c>
      <c r="I18">
        <v>1</v>
      </c>
      <c r="J18">
        <v>370</v>
      </c>
      <c r="K18">
        <v>2</v>
      </c>
      <c r="L18">
        <v>5</v>
      </c>
      <c r="M18">
        <v>3</v>
      </c>
      <c r="N18">
        <v>0</v>
      </c>
      <c r="O18">
        <v>4</v>
      </c>
      <c r="P18">
        <v>6</v>
      </c>
      <c r="Q18" s="2">
        <f>K18/L18</f>
        <v>0.4</v>
      </c>
      <c r="R18" s="2">
        <f>K18/(L18+N18+P18)</f>
        <v>0.18181818181818182</v>
      </c>
      <c r="S18" s="2">
        <f>K18/(L18+N18+O18+P18)</f>
        <v>0.13333333333333333</v>
      </c>
      <c r="T18" t="s">
        <v>81</v>
      </c>
    </row>
    <row r="19" spans="1:20" x14ac:dyDescent="0.2">
      <c r="A19" t="s">
        <v>159</v>
      </c>
      <c r="B19" t="s">
        <v>158</v>
      </c>
      <c r="C19">
        <v>12</v>
      </c>
      <c r="D19">
        <v>105</v>
      </c>
      <c r="E19" t="s">
        <v>115</v>
      </c>
    </row>
    <row r="20" spans="1:20" x14ac:dyDescent="0.2">
      <c r="A20" t="s">
        <v>187</v>
      </c>
      <c r="B20" t="s">
        <v>183</v>
      </c>
      <c r="C20">
        <v>19</v>
      </c>
      <c r="D20">
        <v>97</v>
      </c>
      <c r="E20" t="s">
        <v>188</v>
      </c>
    </row>
    <row r="21" spans="1:20" x14ac:dyDescent="0.2">
      <c r="A21" t="s">
        <v>112</v>
      </c>
      <c r="B21" t="s">
        <v>111</v>
      </c>
      <c r="C21">
        <v>4</v>
      </c>
      <c r="D21">
        <v>3</v>
      </c>
      <c r="E21" t="s">
        <v>122</v>
      </c>
    </row>
    <row r="22" spans="1:20" x14ac:dyDescent="0.2">
      <c r="A22" t="s">
        <v>97</v>
      </c>
      <c r="B22" t="s">
        <v>100</v>
      </c>
      <c r="C22">
        <v>1</v>
      </c>
      <c r="D22">
        <v>73</v>
      </c>
      <c r="E22">
        <v>1961</v>
      </c>
      <c r="F22" t="s">
        <v>331</v>
      </c>
      <c r="I22">
        <v>1</v>
      </c>
    </row>
    <row r="23" spans="1:20" x14ac:dyDescent="0.2">
      <c r="A23" t="s">
        <v>3</v>
      </c>
      <c r="B23" t="s">
        <v>99</v>
      </c>
      <c r="C23">
        <v>6</v>
      </c>
      <c r="D23">
        <v>37</v>
      </c>
      <c r="E23" t="s">
        <v>115</v>
      </c>
      <c r="J23">
        <v>292</v>
      </c>
      <c r="K23">
        <v>7</v>
      </c>
      <c r="L23">
        <v>15</v>
      </c>
      <c r="M23">
        <v>7</v>
      </c>
      <c r="N23">
        <v>0</v>
      </c>
      <c r="O23">
        <v>14</v>
      </c>
      <c r="P23">
        <v>9</v>
      </c>
      <c r="Q23" s="2">
        <f>K23/L23</f>
        <v>0.46666666666666667</v>
      </c>
      <c r="R23" s="2">
        <f>K23/(L23+N23+P23)</f>
        <v>0.29166666666666669</v>
      </c>
      <c r="S23" s="2">
        <f>K23/(L23+N23+O23+P23)</f>
        <v>0.18421052631578946</v>
      </c>
      <c r="T23" t="s">
        <v>86</v>
      </c>
    </row>
    <row r="24" spans="1:20" x14ac:dyDescent="0.2">
      <c r="A24" t="s">
        <v>101</v>
      </c>
      <c r="B24" t="s">
        <v>100</v>
      </c>
      <c r="C24">
        <v>1</v>
      </c>
      <c r="D24">
        <v>73</v>
      </c>
      <c r="E24">
        <v>1961</v>
      </c>
      <c r="F24" t="s">
        <v>331</v>
      </c>
      <c r="I24">
        <v>1</v>
      </c>
    </row>
    <row r="25" spans="1:20" x14ac:dyDescent="0.2">
      <c r="A25" t="s">
        <v>230</v>
      </c>
      <c r="B25" t="s">
        <v>225</v>
      </c>
      <c r="C25">
        <v>42</v>
      </c>
      <c r="D25">
        <v>63</v>
      </c>
      <c r="E25" t="s">
        <v>122</v>
      </c>
    </row>
    <row r="26" spans="1:20" x14ac:dyDescent="0.2">
      <c r="A26" t="s">
        <v>91</v>
      </c>
      <c r="B26" t="s">
        <v>99</v>
      </c>
      <c r="C26">
        <v>6</v>
      </c>
      <c r="D26">
        <v>71</v>
      </c>
      <c r="E26">
        <v>1963</v>
      </c>
      <c r="F26" t="s">
        <v>318</v>
      </c>
      <c r="G26">
        <v>1515</v>
      </c>
      <c r="H26">
        <v>213</v>
      </c>
      <c r="I26">
        <v>1</v>
      </c>
      <c r="Q26" s="2"/>
      <c r="R26" s="2"/>
      <c r="S26" s="2"/>
    </row>
    <row r="27" spans="1:20" x14ac:dyDescent="0.2">
      <c r="A27" t="s">
        <v>302</v>
      </c>
      <c r="B27" t="s">
        <v>118</v>
      </c>
      <c r="C27">
        <v>5</v>
      </c>
      <c r="D27">
        <v>93</v>
      </c>
      <c r="E27" t="s">
        <v>121</v>
      </c>
    </row>
    <row r="28" spans="1:20" x14ac:dyDescent="0.2">
      <c r="A28" t="s">
        <v>4</v>
      </c>
      <c r="B28" t="s">
        <v>99</v>
      </c>
      <c r="C28">
        <v>6</v>
      </c>
      <c r="D28">
        <v>29</v>
      </c>
      <c r="E28" t="s">
        <v>121</v>
      </c>
      <c r="J28">
        <v>281</v>
      </c>
      <c r="K28">
        <v>1</v>
      </c>
      <c r="L28">
        <v>2</v>
      </c>
      <c r="M28">
        <v>1</v>
      </c>
      <c r="N28">
        <v>3</v>
      </c>
      <c r="O28">
        <v>1</v>
      </c>
      <c r="P28">
        <v>1</v>
      </c>
      <c r="Q28" s="2">
        <f>K28/L28</f>
        <v>0.5</v>
      </c>
      <c r="R28" s="2">
        <f>K28/(L28+N28+P28)</f>
        <v>0.16666666666666666</v>
      </c>
      <c r="S28" s="2">
        <f>K28/(L28+N28+O28+P28)</f>
        <v>0.14285714285714285</v>
      </c>
    </row>
    <row r="29" spans="1:20" x14ac:dyDescent="0.2">
      <c r="A29" t="s">
        <v>160</v>
      </c>
      <c r="B29" t="s">
        <v>158</v>
      </c>
      <c r="C29">
        <v>12</v>
      </c>
      <c r="D29">
        <v>81</v>
      </c>
      <c r="E29" t="s">
        <v>114</v>
      </c>
    </row>
    <row r="30" spans="1:20" x14ac:dyDescent="0.2">
      <c r="A30" t="s">
        <v>231</v>
      </c>
      <c r="B30" t="s">
        <v>225</v>
      </c>
      <c r="C30">
        <v>42</v>
      </c>
      <c r="D30">
        <v>83</v>
      </c>
      <c r="E30" t="s">
        <v>122</v>
      </c>
    </row>
    <row r="31" spans="1:20" x14ac:dyDescent="0.2">
      <c r="A31" t="s">
        <v>124</v>
      </c>
      <c r="B31" t="s">
        <v>125</v>
      </c>
      <c r="C31">
        <v>9</v>
      </c>
      <c r="D31">
        <v>1</v>
      </c>
      <c r="E31">
        <v>1963</v>
      </c>
      <c r="F31" t="s">
        <v>329</v>
      </c>
      <c r="I31">
        <v>1</v>
      </c>
    </row>
    <row r="32" spans="1:20" x14ac:dyDescent="0.2">
      <c r="A32" t="s">
        <v>126</v>
      </c>
      <c r="B32" t="s">
        <v>125</v>
      </c>
      <c r="C32">
        <v>9</v>
      </c>
      <c r="D32">
        <v>3</v>
      </c>
      <c r="E32" t="s">
        <v>121</v>
      </c>
    </row>
    <row r="33" spans="1:19" x14ac:dyDescent="0.2">
      <c r="A33" t="s">
        <v>189</v>
      </c>
      <c r="B33" t="s">
        <v>183</v>
      </c>
      <c r="C33">
        <v>19</v>
      </c>
      <c r="D33">
        <v>57</v>
      </c>
      <c r="E33" t="s">
        <v>121</v>
      </c>
    </row>
    <row r="34" spans="1:19" x14ac:dyDescent="0.2">
      <c r="A34" t="s">
        <v>232</v>
      </c>
      <c r="B34" t="s">
        <v>225</v>
      </c>
      <c r="C34">
        <v>42</v>
      </c>
      <c r="D34">
        <v>19</v>
      </c>
      <c r="E34">
        <v>1962</v>
      </c>
      <c r="F34" t="s">
        <v>347</v>
      </c>
      <c r="I34">
        <v>0</v>
      </c>
    </row>
    <row r="35" spans="1:19" x14ac:dyDescent="0.2">
      <c r="A35" t="s">
        <v>5</v>
      </c>
      <c r="B35" t="s">
        <v>99</v>
      </c>
      <c r="C35">
        <v>6</v>
      </c>
      <c r="D35">
        <v>7</v>
      </c>
      <c r="E35">
        <v>1960</v>
      </c>
      <c r="F35" t="s">
        <v>318</v>
      </c>
      <c r="G35">
        <v>1562</v>
      </c>
      <c r="H35">
        <v>166</v>
      </c>
      <c r="I35">
        <v>1</v>
      </c>
      <c r="J35">
        <v>95</v>
      </c>
      <c r="K35">
        <v>13</v>
      </c>
      <c r="L35">
        <v>23</v>
      </c>
      <c r="M35">
        <v>4</v>
      </c>
      <c r="N35">
        <v>1</v>
      </c>
      <c r="O35">
        <v>20</v>
      </c>
      <c r="P35">
        <v>6</v>
      </c>
      <c r="Q35" s="2">
        <f>K35/L35</f>
        <v>0.56521739130434778</v>
      </c>
      <c r="R35" s="2">
        <f>K35/(L35+N35+P35)</f>
        <v>0.43333333333333335</v>
      </c>
      <c r="S35" s="2">
        <f>K35/(L35+N35+O35+P35)</f>
        <v>0.26</v>
      </c>
    </row>
    <row r="36" spans="1:19" x14ac:dyDescent="0.2">
      <c r="A36" t="s">
        <v>338</v>
      </c>
      <c r="B36" t="s">
        <v>175</v>
      </c>
      <c r="C36">
        <v>13</v>
      </c>
      <c r="D36">
        <v>131</v>
      </c>
      <c r="E36" t="s">
        <v>340</v>
      </c>
    </row>
    <row r="37" spans="1:19" x14ac:dyDescent="0.2">
      <c r="A37" t="s">
        <v>6</v>
      </c>
      <c r="B37" t="s">
        <v>99</v>
      </c>
      <c r="C37">
        <v>6</v>
      </c>
      <c r="D37">
        <v>9</v>
      </c>
      <c r="E37">
        <v>1961</v>
      </c>
      <c r="F37" t="s">
        <v>318</v>
      </c>
      <c r="G37">
        <v>1584</v>
      </c>
      <c r="I37">
        <v>1</v>
      </c>
      <c r="J37">
        <v>167</v>
      </c>
      <c r="K37">
        <v>3</v>
      </c>
      <c r="L37">
        <v>12</v>
      </c>
      <c r="M37">
        <v>4</v>
      </c>
      <c r="N37">
        <v>0</v>
      </c>
      <c r="O37">
        <v>3</v>
      </c>
      <c r="P37">
        <v>1</v>
      </c>
      <c r="Q37" s="2">
        <f>K37/L37</f>
        <v>0.25</v>
      </c>
      <c r="R37" s="2">
        <f>K37/(L37+N37+P37)</f>
        <v>0.23076923076923078</v>
      </c>
      <c r="S37" s="2">
        <f>K37/(L37+N37+O37+P37)</f>
        <v>0.1875</v>
      </c>
    </row>
    <row r="38" spans="1:19" x14ac:dyDescent="0.2">
      <c r="A38" t="s">
        <v>339</v>
      </c>
      <c r="B38" t="s">
        <v>175</v>
      </c>
      <c r="C38">
        <v>13</v>
      </c>
      <c r="D38">
        <v>129</v>
      </c>
      <c r="E38" t="s">
        <v>340</v>
      </c>
    </row>
    <row r="39" spans="1:19" x14ac:dyDescent="0.2">
      <c r="A39" t="s">
        <v>120</v>
      </c>
      <c r="B39" t="s">
        <v>118</v>
      </c>
      <c r="C39">
        <v>5</v>
      </c>
      <c r="D39">
        <v>103</v>
      </c>
      <c r="E39" t="s">
        <v>114</v>
      </c>
    </row>
    <row r="40" spans="1:19" x14ac:dyDescent="0.2">
      <c r="A40" t="s">
        <v>7</v>
      </c>
      <c r="B40" t="s">
        <v>99</v>
      </c>
      <c r="C40">
        <v>6</v>
      </c>
      <c r="D40">
        <v>85</v>
      </c>
      <c r="E40">
        <v>1961</v>
      </c>
      <c r="F40" t="s">
        <v>318</v>
      </c>
      <c r="I40">
        <v>1</v>
      </c>
      <c r="J40">
        <v>206</v>
      </c>
      <c r="K40">
        <v>3</v>
      </c>
      <c r="L40">
        <v>7</v>
      </c>
      <c r="M40">
        <v>2</v>
      </c>
      <c r="N40">
        <v>0</v>
      </c>
      <c r="O40">
        <v>8</v>
      </c>
      <c r="P40">
        <v>1</v>
      </c>
      <c r="Q40" s="2">
        <f>K40/L40</f>
        <v>0.42857142857142855</v>
      </c>
      <c r="R40" s="2">
        <f>K40/(L40+N40+P40)</f>
        <v>0.375</v>
      </c>
      <c r="S40" s="2">
        <f>K40/(L40+N40+O40+P40)</f>
        <v>0.1875</v>
      </c>
    </row>
    <row r="41" spans="1:19" x14ac:dyDescent="0.2">
      <c r="A41" t="s">
        <v>233</v>
      </c>
      <c r="B41" t="s">
        <v>225</v>
      </c>
      <c r="C41">
        <v>42</v>
      </c>
      <c r="D41">
        <v>69</v>
      </c>
      <c r="E41" t="s">
        <v>115</v>
      </c>
    </row>
    <row r="42" spans="1:19" x14ac:dyDescent="0.2">
      <c r="A42" t="s">
        <v>8</v>
      </c>
      <c r="B42" t="s">
        <v>99</v>
      </c>
      <c r="C42">
        <v>6</v>
      </c>
      <c r="D42">
        <v>83</v>
      </c>
      <c r="E42" t="s">
        <v>122</v>
      </c>
      <c r="J42">
        <v>422</v>
      </c>
      <c r="K42">
        <v>1</v>
      </c>
      <c r="L42">
        <v>6</v>
      </c>
      <c r="M42">
        <v>1</v>
      </c>
      <c r="N42">
        <v>0</v>
      </c>
      <c r="O42">
        <v>0</v>
      </c>
      <c r="P42">
        <v>2</v>
      </c>
      <c r="Q42" s="2">
        <f>K42/L42</f>
        <v>0.16666666666666666</v>
      </c>
      <c r="R42" s="2">
        <f>K42/(L42+N42+P42)</f>
        <v>0.125</v>
      </c>
      <c r="S42" s="2">
        <f>K42/(L42+N42+O42+P42)</f>
        <v>0.125</v>
      </c>
    </row>
    <row r="43" spans="1:19" x14ac:dyDescent="0.2">
      <c r="A43" t="s">
        <v>213</v>
      </c>
      <c r="B43" t="s">
        <v>211</v>
      </c>
      <c r="C43">
        <v>24</v>
      </c>
      <c r="D43">
        <v>13</v>
      </c>
      <c r="E43" t="s">
        <v>122</v>
      </c>
    </row>
    <row r="44" spans="1:19" x14ac:dyDescent="0.2">
      <c r="A44" t="s">
        <v>214</v>
      </c>
      <c r="B44" t="s">
        <v>211</v>
      </c>
      <c r="C44">
        <v>24</v>
      </c>
      <c r="D44">
        <v>15</v>
      </c>
      <c r="E44" t="s">
        <v>122</v>
      </c>
    </row>
    <row r="45" spans="1:19" x14ac:dyDescent="0.2">
      <c r="A45" t="s">
        <v>190</v>
      </c>
      <c r="B45" t="s">
        <v>183</v>
      </c>
      <c r="C45">
        <v>19</v>
      </c>
      <c r="D45">
        <v>113</v>
      </c>
      <c r="E45" t="s">
        <v>115</v>
      </c>
    </row>
    <row r="46" spans="1:19" x14ac:dyDescent="0.2">
      <c r="A46" t="s">
        <v>234</v>
      </c>
      <c r="B46" t="s">
        <v>225</v>
      </c>
      <c r="C46">
        <v>42</v>
      </c>
      <c r="D46">
        <v>55</v>
      </c>
      <c r="E46" t="s">
        <v>122</v>
      </c>
    </row>
    <row r="47" spans="1:19" x14ac:dyDescent="0.2">
      <c r="A47" t="s">
        <v>127</v>
      </c>
      <c r="B47" t="s">
        <v>125</v>
      </c>
      <c r="C47">
        <v>9</v>
      </c>
      <c r="D47">
        <v>9</v>
      </c>
      <c r="E47" t="s">
        <v>122</v>
      </c>
    </row>
    <row r="48" spans="1:19" x14ac:dyDescent="0.2">
      <c r="A48" t="s">
        <v>316</v>
      </c>
      <c r="B48" t="s">
        <v>317</v>
      </c>
      <c r="E48">
        <v>1955</v>
      </c>
      <c r="F48" t="s">
        <v>320</v>
      </c>
      <c r="H48">
        <v>212</v>
      </c>
      <c r="I48">
        <v>0</v>
      </c>
    </row>
    <row r="49" spans="1:19" x14ac:dyDescent="0.2">
      <c r="A49" t="s">
        <v>235</v>
      </c>
      <c r="B49" t="s">
        <v>225</v>
      </c>
      <c r="C49">
        <v>42</v>
      </c>
      <c r="D49">
        <v>69</v>
      </c>
      <c r="E49" t="s">
        <v>115</v>
      </c>
    </row>
    <row r="50" spans="1:19" x14ac:dyDescent="0.2">
      <c r="A50" t="s">
        <v>9</v>
      </c>
      <c r="B50" t="s">
        <v>99</v>
      </c>
      <c r="C50">
        <v>6</v>
      </c>
      <c r="D50">
        <v>113</v>
      </c>
      <c r="E50">
        <v>1960</v>
      </c>
      <c r="F50" t="s">
        <v>318</v>
      </c>
      <c r="I50">
        <v>1</v>
      </c>
      <c r="J50">
        <v>219</v>
      </c>
      <c r="K50">
        <v>2</v>
      </c>
      <c r="L50">
        <v>4</v>
      </c>
      <c r="M50">
        <v>0</v>
      </c>
      <c r="N50">
        <v>0</v>
      </c>
      <c r="O50">
        <v>0</v>
      </c>
      <c r="P50">
        <v>1</v>
      </c>
      <c r="Q50" s="2">
        <f>K50/L50</f>
        <v>0.5</v>
      </c>
      <c r="R50" s="2">
        <f>K50/(L50+N50+P50)</f>
        <v>0.4</v>
      </c>
      <c r="S50" s="2">
        <f>K50/(L50+N50+O50+P50)</f>
        <v>0.4</v>
      </c>
    </row>
    <row r="51" spans="1:19" x14ac:dyDescent="0.2">
      <c r="A51" t="s">
        <v>212</v>
      </c>
      <c r="B51" t="s">
        <v>118</v>
      </c>
      <c r="C51">
        <v>5</v>
      </c>
      <c r="D51">
        <v>71</v>
      </c>
      <c r="E51" t="s">
        <v>114</v>
      </c>
    </row>
    <row r="52" spans="1:19" x14ac:dyDescent="0.2">
      <c r="A52" t="s">
        <v>236</v>
      </c>
      <c r="B52" t="s">
        <v>225</v>
      </c>
      <c r="C52">
        <v>42</v>
      </c>
      <c r="D52">
        <v>33</v>
      </c>
      <c r="E52" t="s">
        <v>115</v>
      </c>
    </row>
    <row r="53" spans="1:19" x14ac:dyDescent="0.2">
      <c r="A53" t="s">
        <v>161</v>
      </c>
      <c r="B53" t="s">
        <v>158</v>
      </c>
      <c r="C53">
        <v>12</v>
      </c>
      <c r="D53">
        <v>103</v>
      </c>
      <c r="E53" t="s">
        <v>122</v>
      </c>
    </row>
    <row r="54" spans="1:19" x14ac:dyDescent="0.2">
      <c r="A54" t="s">
        <v>10</v>
      </c>
      <c r="B54" t="s">
        <v>99</v>
      </c>
      <c r="C54">
        <v>6</v>
      </c>
      <c r="D54">
        <v>77</v>
      </c>
      <c r="E54" t="s">
        <v>121</v>
      </c>
      <c r="J54">
        <v>20</v>
      </c>
      <c r="K54">
        <v>0</v>
      </c>
      <c r="L54">
        <v>1</v>
      </c>
      <c r="M54">
        <v>0</v>
      </c>
      <c r="N54">
        <v>0</v>
      </c>
      <c r="O54">
        <v>1</v>
      </c>
      <c r="P54">
        <v>0</v>
      </c>
      <c r="Q54" s="2">
        <f>K54/L54</f>
        <v>0</v>
      </c>
      <c r="R54" s="2">
        <f>K54/(L54+N54+P54)</f>
        <v>0</v>
      </c>
      <c r="S54" s="2">
        <f>K54/(L54+N54+O54+P54)</f>
        <v>0</v>
      </c>
    </row>
    <row r="55" spans="1:19" x14ac:dyDescent="0.2">
      <c r="A55" t="s">
        <v>128</v>
      </c>
      <c r="B55" t="s">
        <v>125</v>
      </c>
      <c r="C55">
        <v>9</v>
      </c>
      <c r="D55">
        <v>7</v>
      </c>
      <c r="E55" t="s">
        <v>129</v>
      </c>
    </row>
    <row r="56" spans="1:19" x14ac:dyDescent="0.2">
      <c r="A56" t="s">
        <v>128</v>
      </c>
      <c r="B56" t="s">
        <v>183</v>
      </c>
      <c r="C56">
        <v>19</v>
      </c>
      <c r="D56">
        <v>45</v>
      </c>
      <c r="E56" t="s">
        <v>122</v>
      </c>
    </row>
    <row r="57" spans="1:19" x14ac:dyDescent="0.2">
      <c r="A57" t="s">
        <v>11</v>
      </c>
      <c r="B57" t="s">
        <v>99</v>
      </c>
      <c r="C57">
        <v>6</v>
      </c>
      <c r="D57">
        <v>65</v>
      </c>
      <c r="E57">
        <v>1961</v>
      </c>
      <c r="F57" t="s">
        <v>318</v>
      </c>
      <c r="I57">
        <v>1</v>
      </c>
      <c r="J57">
        <v>34</v>
      </c>
      <c r="K57">
        <v>2</v>
      </c>
      <c r="L57">
        <v>7</v>
      </c>
      <c r="M57">
        <v>3</v>
      </c>
      <c r="N57">
        <v>0</v>
      </c>
      <c r="O57">
        <v>3</v>
      </c>
      <c r="P57">
        <v>2</v>
      </c>
      <c r="Q57" s="2">
        <f>K57/L57</f>
        <v>0.2857142857142857</v>
      </c>
      <c r="R57" s="2">
        <f>K57/(L57+N57+P57)</f>
        <v>0.22222222222222221</v>
      </c>
      <c r="S57" s="2">
        <f>K57/(L57+N57+O57+P57)</f>
        <v>0.16666666666666666</v>
      </c>
    </row>
    <row r="58" spans="1:19" x14ac:dyDescent="0.2">
      <c r="A58" t="s">
        <v>237</v>
      </c>
      <c r="B58" t="s">
        <v>225</v>
      </c>
      <c r="C58">
        <v>42</v>
      </c>
      <c r="D58">
        <v>29</v>
      </c>
      <c r="E58" t="s">
        <v>149</v>
      </c>
    </row>
    <row r="59" spans="1:19" x14ac:dyDescent="0.2">
      <c r="A59" t="s">
        <v>12</v>
      </c>
      <c r="B59" t="s">
        <v>99</v>
      </c>
      <c r="C59">
        <v>6</v>
      </c>
      <c r="D59">
        <v>71</v>
      </c>
      <c r="E59" t="s">
        <v>123</v>
      </c>
      <c r="J59">
        <v>396</v>
      </c>
      <c r="K59">
        <v>10</v>
      </c>
      <c r="L59">
        <v>15</v>
      </c>
      <c r="M59">
        <v>3</v>
      </c>
      <c r="N59">
        <v>0</v>
      </c>
      <c r="O59">
        <v>6</v>
      </c>
      <c r="P59">
        <v>4</v>
      </c>
      <c r="Q59" s="2">
        <f>K59/L59</f>
        <v>0.66666666666666663</v>
      </c>
      <c r="R59" s="2">
        <f>K59/(L59+N59+P59)</f>
        <v>0.52631578947368418</v>
      </c>
      <c r="S59" s="2">
        <f>K59/(L59+N59+O59+P59)</f>
        <v>0.4</v>
      </c>
    </row>
    <row r="60" spans="1:19" x14ac:dyDescent="0.2">
      <c r="A60" t="s">
        <v>238</v>
      </c>
      <c r="B60" t="s">
        <v>225</v>
      </c>
      <c r="C60">
        <v>42</v>
      </c>
      <c r="D60">
        <v>71</v>
      </c>
      <c r="E60" t="s">
        <v>122</v>
      </c>
    </row>
    <row r="61" spans="1:19" x14ac:dyDescent="0.2">
      <c r="A61" t="s">
        <v>176</v>
      </c>
      <c r="B61" t="s">
        <v>175</v>
      </c>
      <c r="C61">
        <v>13</v>
      </c>
      <c r="D61">
        <v>215</v>
      </c>
      <c r="E61" t="s">
        <v>114</v>
      </c>
    </row>
    <row r="62" spans="1:19" x14ac:dyDescent="0.2">
      <c r="A62" t="s">
        <v>13</v>
      </c>
      <c r="B62" t="s">
        <v>99</v>
      </c>
      <c r="C62">
        <v>6</v>
      </c>
      <c r="D62">
        <v>11</v>
      </c>
      <c r="E62">
        <v>1962</v>
      </c>
      <c r="F62" t="s">
        <v>318</v>
      </c>
      <c r="I62">
        <v>1</v>
      </c>
      <c r="J62">
        <v>339</v>
      </c>
      <c r="K62">
        <v>3</v>
      </c>
      <c r="L62">
        <v>5</v>
      </c>
      <c r="M62">
        <v>1</v>
      </c>
      <c r="N62">
        <v>0</v>
      </c>
      <c r="O62">
        <v>0</v>
      </c>
      <c r="P62">
        <v>2</v>
      </c>
      <c r="Q62" s="2">
        <f>K62/L62</f>
        <v>0.6</v>
      </c>
      <c r="R62" s="2">
        <f>K62/(L62+N62+P62)</f>
        <v>0.42857142857142855</v>
      </c>
      <c r="S62" s="2">
        <f>K62/(L62+N62+O62+P62)</f>
        <v>0.42857142857142855</v>
      </c>
    </row>
    <row r="63" spans="1:19" x14ac:dyDescent="0.2">
      <c r="A63" t="s">
        <v>14</v>
      </c>
      <c r="B63" t="s">
        <v>99</v>
      </c>
      <c r="C63">
        <v>6</v>
      </c>
      <c r="D63">
        <v>13</v>
      </c>
      <c r="E63">
        <v>1961</v>
      </c>
      <c r="F63" t="s">
        <v>318</v>
      </c>
      <c r="I63">
        <v>1</v>
      </c>
      <c r="J63">
        <v>159</v>
      </c>
      <c r="K63">
        <v>11</v>
      </c>
      <c r="L63">
        <v>32</v>
      </c>
      <c r="M63">
        <v>16</v>
      </c>
      <c r="N63">
        <v>5</v>
      </c>
      <c r="O63">
        <v>18</v>
      </c>
      <c r="P63">
        <v>13</v>
      </c>
      <c r="Q63" s="2">
        <f>K63/L63</f>
        <v>0.34375</v>
      </c>
      <c r="R63" s="2">
        <f>K63/(L63+N63+P63)</f>
        <v>0.22</v>
      </c>
      <c r="S63" s="2">
        <f>K63/(L63+N63+O63+P63)</f>
        <v>0.16176470588235295</v>
      </c>
    </row>
    <row r="64" spans="1:19" x14ac:dyDescent="0.2">
      <c r="A64" t="s">
        <v>15</v>
      </c>
      <c r="B64" t="s">
        <v>99</v>
      </c>
      <c r="C64">
        <v>6</v>
      </c>
      <c r="D64">
        <v>65</v>
      </c>
      <c r="E64">
        <v>1960</v>
      </c>
      <c r="F64" t="s">
        <v>318</v>
      </c>
      <c r="I64">
        <v>1</v>
      </c>
      <c r="J64">
        <v>481</v>
      </c>
      <c r="K64">
        <v>17</v>
      </c>
      <c r="L64">
        <v>18</v>
      </c>
      <c r="M64">
        <v>1</v>
      </c>
      <c r="N64">
        <v>0</v>
      </c>
      <c r="O64">
        <v>5</v>
      </c>
      <c r="P64">
        <v>3</v>
      </c>
      <c r="Q64" s="2">
        <f>K64/L64</f>
        <v>0.94444444444444442</v>
      </c>
      <c r="R64" s="2">
        <f>K64/(L64+N64+P64)</f>
        <v>0.80952380952380953</v>
      </c>
      <c r="S64" s="2">
        <f>K64/(L64+N64+O64+P64)</f>
        <v>0.65384615384615385</v>
      </c>
    </row>
    <row r="65" spans="1:19" x14ac:dyDescent="0.2">
      <c r="A65" t="s">
        <v>191</v>
      </c>
      <c r="B65" t="s">
        <v>183</v>
      </c>
      <c r="C65">
        <v>19</v>
      </c>
      <c r="D65">
        <v>155</v>
      </c>
      <c r="E65">
        <v>1963</v>
      </c>
      <c r="F65" t="s">
        <v>345</v>
      </c>
      <c r="I65">
        <v>1</v>
      </c>
    </row>
    <row r="66" spans="1:19" x14ac:dyDescent="0.2">
      <c r="A66" t="s">
        <v>162</v>
      </c>
      <c r="B66" t="s">
        <v>158</v>
      </c>
      <c r="C66">
        <v>12</v>
      </c>
      <c r="D66">
        <v>91</v>
      </c>
      <c r="E66" t="s">
        <v>115</v>
      </c>
    </row>
    <row r="67" spans="1:19" x14ac:dyDescent="0.2">
      <c r="A67" t="s">
        <v>239</v>
      </c>
      <c r="B67" t="s">
        <v>225</v>
      </c>
      <c r="C67">
        <v>42</v>
      </c>
      <c r="D67">
        <v>79</v>
      </c>
      <c r="E67" t="s">
        <v>122</v>
      </c>
    </row>
    <row r="68" spans="1:19" x14ac:dyDescent="0.2">
      <c r="A68" t="s">
        <v>130</v>
      </c>
      <c r="B68" t="s">
        <v>125</v>
      </c>
      <c r="C68">
        <v>9</v>
      </c>
      <c r="D68">
        <v>1</v>
      </c>
      <c r="E68" t="s">
        <v>129</v>
      </c>
    </row>
    <row r="69" spans="1:19" x14ac:dyDescent="0.2">
      <c r="A69" t="s">
        <v>132</v>
      </c>
      <c r="B69" t="s">
        <v>125</v>
      </c>
      <c r="C69">
        <v>9</v>
      </c>
      <c r="D69">
        <v>1</v>
      </c>
      <c r="E69" t="s">
        <v>115</v>
      </c>
    </row>
    <row r="70" spans="1:19" x14ac:dyDescent="0.2">
      <c r="A70" t="s">
        <v>240</v>
      </c>
      <c r="B70" t="s">
        <v>225</v>
      </c>
      <c r="C70">
        <v>42</v>
      </c>
      <c r="D70">
        <v>43</v>
      </c>
      <c r="E70" t="s">
        <v>121</v>
      </c>
    </row>
    <row r="71" spans="1:19" x14ac:dyDescent="0.2">
      <c r="A71" t="s">
        <v>192</v>
      </c>
      <c r="B71" t="s">
        <v>183</v>
      </c>
      <c r="C71">
        <v>19</v>
      </c>
      <c r="D71">
        <v>163</v>
      </c>
      <c r="E71" t="s">
        <v>115</v>
      </c>
    </row>
    <row r="72" spans="1:19" x14ac:dyDescent="0.2">
      <c r="A72" t="s">
        <v>241</v>
      </c>
      <c r="B72" t="s">
        <v>225</v>
      </c>
      <c r="C72">
        <v>42</v>
      </c>
      <c r="D72">
        <v>45</v>
      </c>
      <c r="E72">
        <v>1961</v>
      </c>
      <c r="F72" t="s">
        <v>348</v>
      </c>
      <c r="I72">
        <v>0</v>
      </c>
    </row>
    <row r="73" spans="1:19" x14ac:dyDescent="0.2">
      <c r="A73" t="s">
        <v>193</v>
      </c>
      <c r="B73" t="s">
        <v>183</v>
      </c>
      <c r="C73">
        <v>19</v>
      </c>
      <c r="D73">
        <v>153</v>
      </c>
      <c r="E73" t="s">
        <v>121</v>
      </c>
    </row>
    <row r="74" spans="1:19" x14ac:dyDescent="0.2">
      <c r="A74" t="s">
        <v>193</v>
      </c>
      <c r="B74" t="s">
        <v>183</v>
      </c>
      <c r="C74">
        <v>19</v>
      </c>
      <c r="D74">
        <v>181</v>
      </c>
      <c r="E74" t="s">
        <v>121</v>
      </c>
    </row>
    <row r="75" spans="1:19" x14ac:dyDescent="0.2">
      <c r="A75" t="s">
        <v>16</v>
      </c>
      <c r="B75" t="s">
        <v>99</v>
      </c>
      <c r="C75">
        <v>6</v>
      </c>
      <c r="D75">
        <v>95</v>
      </c>
      <c r="E75" t="s">
        <v>122</v>
      </c>
      <c r="J75">
        <v>387</v>
      </c>
      <c r="K75">
        <v>5</v>
      </c>
      <c r="L75">
        <v>9</v>
      </c>
      <c r="M75">
        <v>2</v>
      </c>
      <c r="N75">
        <v>1</v>
      </c>
      <c r="O75">
        <v>1</v>
      </c>
      <c r="P75">
        <v>0</v>
      </c>
      <c r="Q75" s="2">
        <f>K75/L75</f>
        <v>0.55555555555555558</v>
      </c>
      <c r="R75" s="2">
        <f>K75/(L75+N75+P75)</f>
        <v>0.5</v>
      </c>
      <c r="S75" s="2">
        <f>K75/(L75+N75+O75+P75)</f>
        <v>0.45454545454545453</v>
      </c>
    </row>
    <row r="76" spans="1:19" x14ac:dyDescent="0.2">
      <c r="A76" t="s">
        <v>242</v>
      </c>
      <c r="B76" t="s">
        <v>225</v>
      </c>
      <c r="C76">
        <v>42</v>
      </c>
      <c r="D76">
        <v>17</v>
      </c>
      <c r="E76" t="s">
        <v>122</v>
      </c>
    </row>
    <row r="77" spans="1:19" x14ac:dyDescent="0.2">
      <c r="A77" t="s">
        <v>243</v>
      </c>
      <c r="B77" t="s">
        <v>225</v>
      </c>
      <c r="C77">
        <v>42</v>
      </c>
      <c r="D77">
        <v>33</v>
      </c>
      <c r="E77" t="s">
        <v>122</v>
      </c>
    </row>
    <row r="78" spans="1:19" x14ac:dyDescent="0.2">
      <c r="A78" t="s">
        <v>194</v>
      </c>
      <c r="B78" t="s">
        <v>183</v>
      </c>
      <c r="C78">
        <v>19</v>
      </c>
      <c r="D78">
        <v>61</v>
      </c>
      <c r="E78" t="s">
        <v>121</v>
      </c>
    </row>
    <row r="79" spans="1:19" x14ac:dyDescent="0.2">
      <c r="A79" t="s">
        <v>244</v>
      </c>
      <c r="B79" t="s">
        <v>225</v>
      </c>
      <c r="C79">
        <v>42</v>
      </c>
      <c r="D79">
        <v>91</v>
      </c>
      <c r="E79">
        <v>1961</v>
      </c>
      <c r="F79" t="s">
        <v>348</v>
      </c>
      <c r="I79">
        <v>0</v>
      </c>
    </row>
    <row r="80" spans="1:19" x14ac:dyDescent="0.2">
      <c r="A80" t="s">
        <v>245</v>
      </c>
      <c r="B80" t="s">
        <v>225</v>
      </c>
      <c r="C80">
        <v>42</v>
      </c>
      <c r="D80">
        <v>95</v>
      </c>
      <c r="E80" t="s">
        <v>115</v>
      </c>
    </row>
    <row r="81" spans="1:19" x14ac:dyDescent="0.2">
      <c r="A81" t="s">
        <v>246</v>
      </c>
      <c r="B81" t="s">
        <v>225</v>
      </c>
      <c r="C81">
        <v>42</v>
      </c>
      <c r="D81">
        <v>21</v>
      </c>
      <c r="E81" t="s">
        <v>122</v>
      </c>
    </row>
    <row r="82" spans="1:19" x14ac:dyDescent="0.2">
      <c r="A82" t="s">
        <v>303</v>
      </c>
      <c r="B82" t="s">
        <v>118</v>
      </c>
      <c r="C82">
        <v>5</v>
      </c>
      <c r="D82">
        <v>139</v>
      </c>
      <c r="E82" t="s">
        <v>115</v>
      </c>
    </row>
    <row r="83" spans="1:19" x14ac:dyDescent="0.2">
      <c r="A83" t="s">
        <v>247</v>
      </c>
      <c r="B83" t="s">
        <v>225</v>
      </c>
      <c r="C83">
        <v>42</v>
      </c>
      <c r="D83">
        <v>43</v>
      </c>
      <c r="E83" t="s">
        <v>114</v>
      </c>
    </row>
    <row r="84" spans="1:19" x14ac:dyDescent="0.2">
      <c r="A84" t="s">
        <v>248</v>
      </c>
      <c r="B84" t="s">
        <v>225</v>
      </c>
      <c r="C84">
        <v>42</v>
      </c>
      <c r="D84">
        <v>49</v>
      </c>
      <c r="E84" t="s">
        <v>115</v>
      </c>
    </row>
    <row r="85" spans="1:19" x14ac:dyDescent="0.2">
      <c r="A85" t="s">
        <v>92</v>
      </c>
      <c r="B85" t="s">
        <v>99</v>
      </c>
      <c r="C85">
        <v>6</v>
      </c>
      <c r="D85">
        <v>67</v>
      </c>
      <c r="E85">
        <v>1960</v>
      </c>
      <c r="F85" t="s">
        <v>318</v>
      </c>
      <c r="I85">
        <v>1</v>
      </c>
      <c r="Q85" s="2"/>
      <c r="R85" s="2"/>
      <c r="S85" s="2"/>
    </row>
    <row r="86" spans="1:19" x14ac:dyDescent="0.2">
      <c r="A86" t="s">
        <v>110</v>
      </c>
      <c r="B86" t="s">
        <v>108</v>
      </c>
      <c r="C86">
        <v>2</v>
      </c>
      <c r="D86">
        <v>90</v>
      </c>
      <c r="E86" t="s">
        <v>115</v>
      </c>
    </row>
    <row r="87" spans="1:19" x14ac:dyDescent="0.2">
      <c r="A87" t="s">
        <v>102</v>
      </c>
      <c r="B87" t="s">
        <v>100</v>
      </c>
      <c r="C87">
        <v>1</v>
      </c>
      <c r="D87">
        <v>3</v>
      </c>
      <c r="E87" t="s">
        <v>114</v>
      </c>
    </row>
    <row r="88" spans="1:19" x14ac:dyDescent="0.2">
      <c r="A88" t="s">
        <v>304</v>
      </c>
      <c r="B88" t="s">
        <v>118</v>
      </c>
      <c r="C88">
        <v>5</v>
      </c>
      <c r="D88">
        <v>143</v>
      </c>
      <c r="E88" t="s">
        <v>122</v>
      </c>
    </row>
    <row r="89" spans="1:19" x14ac:dyDescent="0.2">
      <c r="A89" t="s">
        <v>299</v>
      </c>
      <c r="B89" t="s">
        <v>111</v>
      </c>
      <c r="C89">
        <v>4</v>
      </c>
      <c r="D89">
        <v>5</v>
      </c>
      <c r="E89" t="s">
        <v>121</v>
      </c>
    </row>
    <row r="90" spans="1:19" x14ac:dyDescent="0.2">
      <c r="A90" t="s">
        <v>325</v>
      </c>
      <c r="B90" t="s">
        <v>100</v>
      </c>
      <c r="C90">
        <v>1</v>
      </c>
      <c r="D90">
        <v>71</v>
      </c>
      <c r="E90" t="s">
        <v>115</v>
      </c>
    </row>
    <row r="91" spans="1:19" x14ac:dyDescent="0.2">
      <c r="A91" t="s">
        <v>103</v>
      </c>
      <c r="B91" t="s">
        <v>100</v>
      </c>
      <c r="C91">
        <v>1</v>
      </c>
      <c r="D91">
        <v>77</v>
      </c>
      <c r="E91" t="s">
        <v>115</v>
      </c>
    </row>
    <row r="92" spans="1:19" x14ac:dyDescent="0.2">
      <c r="A92" t="s">
        <v>163</v>
      </c>
      <c r="B92" t="s">
        <v>158</v>
      </c>
      <c r="C92">
        <v>12</v>
      </c>
      <c r="D92">
        <v>11</v>
      </c>
      <c r="E92" t="s">
        <v>115</v>
      </c>
    </row>
    <row r="93" spans="1:19" x14ac:dyDescent="0.2">
      <c r="A93" t="s">
        <v>164</v>
      </c>
      <c r="B93" t="s">
        <v>158</v>
      </c>
      <c r="C93">
        <v>12</v>
      </c>
      <c r="D93">
        <v>71</v>
      </c>
      <c r="E93" t="s">
        <v>115</v>
      </c>
    </row>
    <row r="94" spans="1:19" x14ac:dyDescent="0.2">
      <c r="A94" t="s">
        <v>305</v>
      </c>
      <c r="B94" t="s">
        <v>118</v>
      </c>
      <c r="C94">
        <v>5</v>
      </c>
      <c r="D94">
        <v>131</v>
      </c>
      <c r="E94" t="s">
        <v>114</v>
      </c>
    </row>
    <row r="95" spans="1:19" x14ac:dyDescent="0.2">
      <c r="A95" t="s">
        <v>215</v>
      </c>
      <c r="B95" t="s">
        <v>211</v>
      </c>
      <c r="C95">
        <v>24</v>
      </c>
      <c r="D95">
        <v>21</v>
      </c>
      <c r="E95" t="s">
        <v>121</v>
      </c>
    </row>
    <row r="96" spans="1:19" x14ac:dyDescent="0.2">
      <c r="A96" t="s">
        <v>17</v>
      </c>
      <c r="B96" t="s">
        <v>99</v>
      </c>
      <c r="C96">
        <v>6</v>
      </c>
      <c r="D96">
        <v>19</v>
      </c>
      <c r="E96">
        <v>1958</v>
      </c>
      <c r="F96" t="s">
        <v>318</v>
      </c>
      <c r="I96">
        <v>1</v>
      </c>
      <c r="J96">
        <v>119</v>
      </c>
      <c r="K96">
        <v>1</v>
      </c>
      <c r="L96">
        <v>11</v>
      </c>
      <c r="M96">
        <v>5</v>
      </c>
      <c r="N96">
        <v>9</v>
      </c>
      <c r="O96">
        <v>45</v>
      </c>
      <c r="P96">
        <v>5</v>
      </c>
      <c r="Q96" s="2">
        <f>K96/L96</f>
        <v>9.0909090909090912E-2</v>
      </c>
      <c r="R96" s="2">
        <f>K96/(L96+N96+P96)</f>
        <v>0.04</v>
      </c>
      <c r="S96" s="2">
        <f>K96/(L96+N96+O96+P96)</f>
        <v>1.4285714285714285E-2</v>
      </c>
    </row>
    <row r="97" spans="1:19" x14ac:dyDescent="0.2">
      <c r="A97" t="s">
        <v>18</v>
      </c>
      <c r="B97" t="s">
        <v>99</v>
      </c>
      <c r="C97">
        <v>6</v>
      </c>
      <c r="D97">
        <v>19</v>
      </c>
      <c r="E97">
        <v>1958</v>
      </c>
      <c r="F97" t="s">
        <v>318</v>
      </c>
      <c r="I97">
        <v>1</v>
      </c>
      <c r="J97">
        <v>115</v>
      </c>
      <c r="K97">
        <v>11</v>
      </c>
      <c r="L97">
        <v>23</v>
      </c>
      <c r="M97">
        <v>4</v>
      </c>
      <c r="N97">
        <v>3</v>
      </c>
      <c r="O97">
        <v>21</v>
      </c>
      <c r="P97">
        <v>5</v>
      </c>
      <c r="Q97" s="2">
        <f>K97/L97</f>
        <v>0.47826086956521741</v>
      </c>
      <c r="R97" s="2">
        <f>K97/(L97+N97+P97)</f>
        <v>0.35483870967741937</v>
      </c>
      <c r="S97" s="2">
        <f>K97/(L97+N97+O97+P97)</f>
        <v>0.21153846153846154</v>
      </c>
    </row>
    <row r="98" spans="1:19" x14ac:dyDescent="0.2">
      <c r="A98" t="s">
        <v>104</v>
      </c>
      <c r="B98" t="s">
        <v>100</v>
      </c>
      <c r="C98">
        <v>1</v>
      </c>
      <c r="D98">
        <v>73</v>
      </c>
      <c r="E98">
        <v>1962</v>
      </c>
      <c r="F98" t="s">
        <v>331</v>
      </c>
      <c r="I98">
        <v>1</v>
      </c>
    </row>
    <row r="99" spans="1:19" x14ac:dyDescent="0.2">
      <c r="A99" t="s">
        <v>19</v>
      </c>
      <c r="B99" t="s">
        <v>99</v>
      </c>
      <c r="C99">
        <v>6</v>
      </c>
      <c r="D99">
        <v>85</v>
      </c>
      <c r="E99">
        <v>1962</v>
      </c>
      <c r="F99" t="s">
        <v>318</v>
      </c>
      <c r="I99">
        <v>1</v>
      </c>
      <c r="J99">
        <v>299</v>
      </c>
      <c r="K99">
        <v>1</v>
      </c>
      <c r="L99">
        <v>2</v>
      </c>
      <c r="M99">
        <v>2</v>
      </c>
      <c r="N99">
        <v>0</v>
      </c>
      <c r="O99">
        <v>2</v>
      </c>
      <c r="P99">
        <v>1</v>
      </c>
      <c r="Q99" s="2">
        <f>K99/L99</f>
        <v>0.5</v>
      </c>
      <c r="R99" s="2">
        <f>K99/(L99+N99+P99)</f>
        <v>0.33333333333333331</v>
      </c>
      <c r="S99" s="2">
        <f>K99/(L99+N99+O99+P99)</f>
        <v>0.2</v>
      </c>
    </row>
    <row r="100" spans="1:19" x14ac:dyDescent="0.2">
      <c r="A100" t="s">
        <v>20</v>
      </c>
      <c r="B100" t="s">
        <v>99</v>
      </c>
      <c r="C100">
        <v>6</v>
      </c>
      <c r="D100">
        <v>21</v>
      </c>
      <c r="E100" t="s">
        <v>121</v>
      </c>
      <c r="J100">
        <v>178</v>
      </c>
      <c r="K100">
        <v>4</v>
      </c>
      <c r="L100">
        <v>8</v>
      </c>
      <c r="M100">
        <v>2</v>
      </c>
      <c r="N100">
        <v>0</v>
      </c>
      <c r="O100">
        <v>6</v>
      </c>
      <c r="P100">
        <v>1</v>
      </c>
      <c r="Q100" s="2">
        <f>K100/L100</f>
        <v>0.5</v>
      </c>
      <c r="R100" s="2">
        <f>K100/(L100+N100+P100)</f>
        <v>0.44444444444444442</v>
      </c>
      <c r="S100" s="2">
        <f>K100/(L100+N100+O100+P100)</f>
        <v>0.26666666666666666</v>
      </c>
    </row>
    <row r="101" spans="1:19" x14ac:dyDescent="0.2">
      <c r="A101" t="s">
        <v>20</v>
      </c>
      <c r="B101" t="s">
        <v>99</v>
      </c>
      <c r="C101">
        <v>6</v>
      </c>
      <c r="D101">
        <v>103</v>
      </c>
      <c r="E101" t="s">
        <v>121</v>
      </c>
      <c r="J101">
        <v>178</v>
      </c>
      <c r="K101">
        <v>4</v>
      </c>
      <c r="L101">
        <v>8</v>
      </c>
      <c r="M101">
        <v>2</v>
      </c>
      <c r="N101">
        <v>0</v>
      </c>
      <c r="O101">
        <v>6</v>
      </c>
      <c r="P101">
        <v>1</v>
      </c>
      <c r="Q101" s="2">
        <f>K101/L101</f>
        <v>0.5</v>
      </c>
      <c r="R101" s="2">
        <f>K101/(L101+N101+P101)</f>
        <v>0.44444444444444442</v>
      </c>
      <c r="S101" s="2">
        <f>K101/(L101+N101+O101+P101)</f>
        <v>0.26666666666666666</v>
      </c>
    </row>
    <row r="102" spans="1:19" x14ac:dyDescent="0.2">
      <c r="A102" t="s">
        <v>249</v>
      </c>
      <c r="B102" t="s">
        <v>225</v>
      </c>
      <c r="C102">
        <v>42</v>
      </c>
      <c r="D102">
        <v>129</v>
      </c>
      <c r="E102" t="s">
        <v>115</v>
      </c>
    </row>
    <row r="103" spans="1:19" x14ac:dyDescent="0.2">
      <c r="A103" t="s">
        <v>133</v>
      </c>
      <c r="B103" t="s">
        <v>125</v>
      </c>
      <c r="C103">
        <v>9</v>
      </c>
      <c r="D103">
        <v>1</v>
      </c>
      <c r="E103" t="s">
        <v>122</v>
      </c>
    </row>
    <row r="104" spans="1:19" x14ac:dyDescent="0.2">
      <c r="A104" t="s">
        <v>250</v>
      </c>
      <c r="B104" t="s">
        <v>225</v>
      </c>
      <c r="C104">
        <v>42</v>
      </c>
      <c r="D104">
        <v>85</v>
      </c>
      <c r="E104" t="s">
        <v>115</v>
      </c>
    </row>
    <row r="105" spans="1:19" x14ac:dyDescent="0.2">
      <c r="A105" t="s">
        <v>195</v>
      </c>
      <c r="B105" t="s">
        <v>183</v>
      </c>
      <c r="C105">
        <v>19</v>
      </c>
      <c r="D105">
        <v>77</v>
      </c>
      <c r="E105" t="s">
        <v>122</v>
      </c>
    </row>
    <row r="106" spans="1:19" x14ac:dyDescent="0.2">
      <c r="A106" t="s">
        <v>197</v>
      </c>
      <c r="B106" t="s">
        <v>183</v>
      </c>
      <c r="C106">
        <v>19</v>
      </c>
      <c r="D106">
        <v>71</v>
      </c>
      <c r="E106" t="s">
        <v>122</v>
      </c>
    </row>
    <row r="107" spans="1:19" x14ac:dyDescent="0.2">
      <c r="A107" t="s">
        <v>196</v>
      </c>
      <c r="B107" t="s">
        <v>183</v>
      </c>
      <c r="C107">
        <v>19</v>
      </c>
      <c r="D107">
        <v>69</v>
      </c>
      <c r="E107" t="s">
        <v>122</v>
      </c>
    </row>
    <row r="108" spans="1:19" x14ac:dyDescent="0.2">
      <c r="A108" t="s">
        <v>216</v>
      </c>
      <c r="B108" t="s">
        <v>211</v>
      </c>
      <c r="C108">
        <v>24</v>
      </c>
      <c r="D108">
        <v>25</v>
      </c>
      <c r="E108" t="s">
        <v>114</v>
      </c>
    </row>
    <row r="109" spans="1:19" x14ac:dyDescent="0.2">
      <c r="A109" t="s">
        <v>251</v>
      </c>
      <c r="B109" t="s">
        <v>225</v>
      </c>
      <c r="C109">
        <v>42</v>
      </c>
      <c r="D109">
        <v>43</v>
      </c>
      <c r="E109" t="s">
        <v>115</v>
      </c>
    </row>
    <row r="110" spans="1:19" x14ac:dyDescent="0.2">
      <c r="A110" t="s">
        <v>134</v>
      </c>
      <c r="B110" t="s">
        <v>125</v>
      </c>
      <c r="C110">
        <v>9</v>
      </c>
      <c r="D110">
        <v>3</v>
      </c>
      <c r="E110" t="s">
        <v>115</v>
      </c>
    </row>
    <row r="111" spans="1:19" x14ac:dyDescent="0.2">
      <c r="A111" t="s">
        <v>300</v>
      </c>
      <c r="B111" t="s">
        <v>111</v>
      </c>
      <c r="C111">
        <v>4</v>
      </c>
      <c r="D111">
        <v>7</v>
      </c>
      <c r="E111" t="s">
        <v>115</v>
      </c>
    </row>
    <row r="112" spans="1:19" x14ac:dyDescent="0.2">
      <c r="A112" t="s">
        <v>300</v>
      </c>
      <c r="B112" t="s">
        <v>111</v>
      </c>
      <c r="C112">
        <v>4</v>
      </c>
      <c r="D112">
        <v>21</v>
      </c>
      <c r="E112" t="s">
        <v>115</v>
      </c>
    </row>
    <row r="113" spans="1:20" x14ac:dyDescent="0.2">
      <c r="A113" t="s">
        <v>252</v>
      </c>
      <c r="B113" t="s">
        <v>225</v>
      </c>
      <c r="C113">
        <v>42</v>
      </c>
      <c r="D113">
        <v>79</v>
      </c>
      <c r="E113" t="s">
        <v>122</v>
      </c>
    </row>
    <row r="114" spans="1:20" x14ac:dyDescent="0.2">
      <c r="A114" t="s">
        <v>21</v>
      </c>
      <c r="B114" t="s">
        <v>99</v>
      </c>
      <c r="C114">
        <v>6</v>
      </c>
      <c r="D114">
        <v>65</v>
      </c>
      <c r="E114">
        <v>1962</v>
      </c>
      <c r="F114" t="s">
        <v>318</v>
      </c>
      <c r="I114">
        <v>1</v>
      </c>
      <c r="J114">
        <v>56</v>
      </c>
      <c r="K114">
        <v>0</v>
      </c>
      <c r="L114">
        <v>5</v>
      </c>
      <c r="M114">
        <v>1</v>
      </c>
      <c r="N114">
        <v>0</v>
      </c>
      <c r="O114">
        <v>0</v>
      </c>
      <c r="P114">
        <v>3</v>
      </c>
      <c r="Q114" s="2">
        <f>K114/L114</f>
        <v>0</v>
      </c>
      <c r="R114" s="2">
        <f>K114/(L114+N114+P114)</f>
        <v>0</v>
      </c>
      <c r="S114" s="2">
        <f>K114/(L114+N114+O114+P114)</f>
        <v>0</v>
      </c>
    </row>
    <row r="115" spans="1:20" x14ac:dyDescent="0.2">
      <c r="A115" t="s">
        <v>179</v>
      </c>
      <c r="B115" t="s">
        <v>180</v>
      </c>
      <c r="C115">
        <v>15</v>
      </c>
      <c r="D115">
        <v>3</v>
      </c>
      <c r="E115">
        <v>1954</v>
      </c>
      <c r="F115" t="s">
        <v>341</v>
      </c>
      <c r="I115">
        <v>0</v>
      </c>
    </row>
    <row r="116" spans="1:20" x14ac:dyDescent="0.2">
      <c r="A116" t="s">
        <v>308</v>
      </c>
      <c r="B116" t="s">
        <v>118</v>
      </c>
      <c r="C116">
        <v>5</v>
      </c>
      <c r="D116">
        <v>51</v>
      </c>
      <c r="E116" t="s">
        <v>121</v>
      </c>
    </row>
    <row r="117" spans="1:20" x14ac:dyDescent="0.2">
      <c r="A117" t="s">
        <v>22</v>
      </c>
      <c r="B117" t="s">
        <v>99</v>
      </c>
      <c r="C117">
        <v>6</v>
      </c>
      <c r="D117">
        <v>23</v>
      </c>
      <c r="E117">
        <v>1960</v>
      </c>
      <c r="F117" t="s">
        <v>318</v>
      </c>
      <c r="I117">
        <v>1</v>
      </c>
      <c r="J117">
        <v>392</v>
      </c>
      <c r="K117">
        <v>5</v>
      </c>
      <c r="L117">
        <v>11</v>
      </c>
      <c r="M117">
        <v>2</v>
      </c>
      <c r="N117">
        <v>1</v>
      </c>
      <c r="O117">
        <v>7</v>
      </c>
      <c r="P117">
        <v>3</v>
      </c>
      <c r="Q117" s="2">
        <f>K117/L117</f>
        <v>0.45454545454545453</v>
      </c>
      <c r="R117" s="2">
        <f>K117/(L117+N117+P117)</f>
        <v>0.33333333333333331</v>
      </c>
      <c r="S117" s="2">
        <f>K117/(L117+N117+O117+P117)</f>
        <v>0.22727272727272727</v>
      </c>
    </row>
    <row r="118" spans="1:20" x14ac:dyDescent="0.2">
      <c r="A118" t="s">
        <v>23</v>
      </c>
      <c r="B118" t="s">
        <v>99</v>
      </c>
      <c r="C118">
        <v>6</v>
      </c>
      <c r="D118">
        <v>37</v>
      </c>
      <c r="E118">
        <v>1960</v>
      </c>
      <c r="F118" t="s">
        <v>318</v>
      </c>
      <c r="I118">
        <v>1</v>
      </c>
      <c r="J118">
        <v>162</v>
      </c>
      <c r="K118">
        <v>0</v>
      </c>
      <c r="L118">
        <v>4</v>
      </c>
      <c r="M118">
        <v>1</v>
      </c>
      <c r="N118">
        <v>1</v>
      </c>
      <c r="O118">
        <v>2</v>
      </c>
      <c r="P118">
        <v>2</v>
      </c>
      <c r="Q118" s="2">
        <f>K118/L118</f>
        <v>0</v>
      </c>
      <c r="R118" s="2">
        <f>K118/(L118+N118+P118)</f>
        <v>0</v>
      </c>
      <c r="S118" s="2">
        <f>K118/(L118+N118+O118+P118)</f>
        <v>0</v>
      </c>
    </row>
    <row r="119" spans="1:20" x14ac:dyDescent="0.2">
      <c r="A119" t="s">
        <v>326</v>
      </c>
      <c r="B119" t="s">
        <v>100</v>
      </c>
      <c r="C119">
        <v>1</v>
      </c>
      <c r="D119">
        <v>89</v>
      </c>
      <c r="E119" t="s">
        <v>114</v>
      </c>
    </row>
    <row r="120" spans="1:20" x14ac:dyDescent="0.2">
      <c r="A120" t="s">
        <v>326</v>
      </c>
      <c r="B120" t="s">
        <v>100</v>
      </c>
      <c r="C120">
        <v>1</v>
      </c>
      <c r="D120">
        <v>83</v>
      </c>
      <c r="E120" t="s">
        <v>114</v>
      </c>
    </row>
    <row r="121" spans="1:20" x14ac:dyDescent="0.2">
      <c r="A121" t="s">
        <v>326</v>
      </c>
      <c r="B121" t="s">
        <v>100</v>
      </c>
      <c r="C121">
        <v>1</v>
      </c>
      <c r="D121">
        <v>103</v>
      </c>
      <c r="E121" t="s">
        <v>114</v>
      </c>
    </row>
    <row r="122" spans="1:20" x14ac:dyDescent="0.2">
      <c r="A122" t="s">
        <v>24</v>
      </c>
      <c r="B122" t="s">
        <v>99</v>
      </c>
      <c r="C122">
        <v>6</v>
      </c>
      <c r="D122">
        <v>25</v>
      </c>
      <c r="E122">
        <v>1961</v>
      </c>
      <c r="F122" t="s">
        <v>318</v>
      </c>
      <c r="I122">
        <v>1</v>
      </c>
      <c r="J122">
        <v>85</v>
      </c>
      <c r="K122">
        <v>4</v>
      </c>
      <c r="L122">
        <v>8</v>
      </c>
      <c r="M122">
        <v>1</v>
      </c>
      <c r="N122">
        <v>4</v>
      </c>
      <c r="O122">
        <v>6</v>
      </c>
      <c r="P122">
        <v>1</v>
      </c>
      <c r="Q122" s="2">
        <f>K122/L122</f>
        <v>0.5</v>
      </c>
      <c r="R122" s="2">
        <f>K122/(L122+N122+P122)</f>
        <v>0.30769230769230771</v>
      </c>
      <c r="S122" s="2">
        <f>K122/(L122+N122+O122+P122)</f>
        <v>0.21052631578947367</v>
      </c>
    </row>
    <row r="123" spans="1:20" x14ac:dyDescent="0.2">
      <c r="A123" t="s">
        <v>198</v>
      </c>
      <c r="B123" t="s">
        <v>183</v>
      </c>
      <c r="C123">
        <v>19</v>
      </c>
      <c r="D123">
        <v>103</v>
      </c>
      <c r="E123" t="s">
        <v>114</v>
      </c>
    </row>
    <row r="124" spans="1:20" x14ac:dyDescent="0.2">
      <c r="A124" t="s">
        <v>199</v>
      </c>
      <c r="B124" t="s">
        <v>183</v>
      </c>
      <c r="C124">
        <v>19</v>
      </c>
      <c r="D124">
        <v>83</v>
      </c>
      <c r="E124" t="s">
        <v>121</v>
      </c>
    </row>
    <row r="125" spans="1:20" x14ac:dyDescent="0.2">
      <c r="A125" t="s">
        <v>181</v>
      </c>
      <c r="B125" t="s">
        <v>180</v>
      </c>
      <c r="C125">
        <v>15</v>
      </c>
      <c r="D125">
        <v>1</v>
      </c>
      <c r="E125">
        <v>1960</v>
      </c>
      <c r="F125" t="s">
        <v>342</v>
      </c>
      <c r="I125">
        <v>0</v>
      </c>
      <c r="T125" t="s">
        <v>343</v>
      </c>
    </row>
    <row r="126" spans="1:20" x14ac:dyDescent="0.2">
      <c r="A126" t="s">
        <v>165</v>
      </c>
      <c r="B126" t="s">
        <v>118</v>
      </c>
      <c r="C126">
        <v>5</v>
      </c>
      <c r="D126">
        <v>119</v>
      </c>
      <c r="E126" t="s">
        <v>115</v>
      </c>
    </row>
    <row r="127" spans="1:20" x14ac:dyDescent="0.2">
      <c r="A127" t="s">
        <v>165</v>
      </c>
      <c r="B127" t="s">
        <v>158</v>
      </c>
      <c r="C127">
        <v>12</v>
      </c>
      <c r="D127">
        <v>31</v>
      </c>
      <c r="E127" t="s">
        <v>115</v>
      </c>
    </row>
    <row r="128" spans="1:20" x14ac:dyDescent="0.2">
      <c r="A128" t="s">
        <v>253</v>
      </c>
      <c r="B128" t="s">
        <v>225</v>
      </c>
      <c r="C128">
        <v>42</v>
      </c>
      <c r="D128">
        <v>21</v>
      </c>
      <c r="E128" t="s">
        <v>122</v>
      </c>
    </row>
    <row r="129" spans="1:19" x14ac:dyDescent="0.2">
      <c r="A129" t="s">
        <v>309</v>
      </c>
      <c r="B129" t="s">
        <v>118</v>
      </c>
      <c r="C129">
        <v>5</v>
      </c>
      <c r="D129">
        <v>59</v>
      </c>
      <c r="E129" t="s">
        <v>121</v>
      </c>
    </row>
    <row r="130" spans="1:19" x14ac:dyDescent="0.2">
      <c r="A130" t="s">
        <v>217</v>
      </c>
      <c r="B130" t="s">
        <v>211</v>
      </c>
      <c r="C130">
        <v>24</v>
      </c>
      <c r="D130">
        <v>29</v>
      </c>
      <c r="E130" t="s">
        <v>121</v>
      </c>
    </row>
    <row r="131" spans="1:19" x14ac:dyDescent="0.2">
      <c r="A131" t="s">
        <v>25</v>
      </c>
      <c r="B131" t="s">
        <v>99</v>
      </c>
      <c r="C131">
        <v>6</v>
      </c>
      <c r="D131">
        <v>29</v>
      </c>
      <c r="E131">
        <v>1961</v>
      </c>
      <c r="F131" t="s">
        <v>318</v>
      </c>
      <c r="I131">
        <v>1</v>
      </c>
      <c r="J131">
        <v>102</v>
      </c>
      <c r="K131">
        <v>7</v>
      </c>
      <c r="L131">
        <v>20</v>
      </c>
      <c r="M131">
        <v>7</v>
      </c>
      <c r="N131">
        <v>6</v>
      </c>
      <c r="O131">
        <v>35</v>
      </c>
      <c r="P131">
        <v>4</v>
      </c>
      <c r="Q131" s="2">
        <f t="shared" ref="Q131:Q139" si="0">K131/L131</f>
        <v>0.35</v>
      </c>
      <c r="R131" s="2">
        <f t="shared" ref="R131:R139" si="1">K131/(L131+N131+P131)</f>
        <v>0.23333333333333334</v>
      </c>
      <c r="S131" s="2">
        <f t="shared" ref="S131:S139" si="2">K131/(L131+N131+O131+P131)</f>
        <v>0.1076923076923077</v>
      </c>
    </row>
    <row r="132" spans="1:19" x14ac:dyDescent="0.2">
      <c r="A132" t="s">
        <v>71</v>
      </c>
      <c r="B132" t="s">
        <v>99</v>
      </c>
      <c r="C132">
        <v>6</v>
      </c>
      <c r="D132">
        <v>31</v>
      </c>
      <c r="E132">
        <v>1960</v>
      </c>
      <c r="F132" t="s">
        <v>318</v>
      </c>
      <c r="I132">
        <v>1</v>
      </c>
      <c r="J132">
        <v>103</v>
      </c>
      <c r="K132">
        <v>9</v>
      </c>
      <c r="L132">
        <v>22</v>
      </c>
      <c r="M132">
        <v>9</v>
      </c>
      <c r="N132">
        <v>1</v>
      </c>
      <c r="O132">
        <v>27</v>
      </c>
      <c r="P132">
        <v>9</v>
      </c>
      <c r="Q132" s="2">
        <f t="shared" si="0"/>
        <v>0.40909090909090912</v>
      </c>
      <c r="R132" s="2">
        <f t="shared" si="1"/>
        <v>0.28125</v>
      </c>
      <c r="S132" s="2">
        <f t="shared" si="2"/>
        <v>0.15254237288135594</v>
      </c>
    </row>
    <row r="133" spans="1:19" x14ac:dyDescent="0.2">
      <c r="A133" t="s">
        <v>71</v>
      </c>
      <c r="B133" t="s">
        <v>99</v>
      </c>
      <c r="C133">
        <v>6</v>
      </c>
      <c r="D133">
        <v>107</v>
      </c>
      <c r="E133">
        <v>1960</v>
      </c>
      <c r="F133" t="s">
        <v>318</v>
      </c>
      <c r="I133">
        <v>1</v>
      </c>
      <c r="J133">
        <v>103</v>
      </c>
      <c r="K133">
        <v>9</v>
      </c>
      <c r="L133">
        <v>22</v>
      </c>
      <c r="M133">
        <v>9</v>
      </c>
      <c r="N133">
        <v>1</v>
      </c>
      <c r="O133">
        <v>27</v>
      </c>
      <c r="P133">
        <v>9</v>
      </c>
      <c r="Q133" s="2">
        <f t="shared" si="0"/>
        <v>0.40909090909090912</v>
      </c>
      <c r="R133" s="2">
        <f t="shared" si="1"/>
        <v>0.28125</v>
      </c>
      <c r="S133" s="2">
        <f t="shared" si="2"/>
        <v>0.15254237288135594</v>
      </c>
    </row>
    <row r="134" spans="1:19" x14ac:dyDescent="0.2">
      <c r="A134" t="s">
        <v>26</v>
      </c>
      <c r="B134" t="s">
        <v>99</v>
      </c>
      <c r="C134">
        <v>6</v>
      </c>
      <c r="D134">
        <v>59</v>
      </c>
      <c r="E134">
        <v>1960</v>
      </c>
      <c r="F134" t="s">
        <v>318</v>
      </c>
      <c r="I134">
        <v>1</v>
      </c>
      <c r="J134">
        <v>274</v>
      </c>
      <c r="K134">
        <v>1</v>
      </c>
      <c r="L134">
        <v>2</v>
      </c>
      <c r="M134">
        <v>1</v>
      </c>
      <c r="N134">
        <v>0</v>
      </c>
      <c r="O134">
        <v>1</v>
      </c>
      <c r="P134">
        <v>4</v>
      </c>
      <c r="Q134" s="2">
        <f t="shared" si="0"/>
        <v>0.5</v>
      </c>
      <c r="R134" s="2">
        <f t="shared" si="1"/>
        <v>0.16666666666666666</v>
      </c>
      <c r="S134" s="2">
        <f t="shared" si="2"/>
        <v>0.14285714285714285</v>
      </c>
    </row>
    <row r="135" spans="1:19" x14ac:dyDescent="0.2">
      <c r="A135" t="s">
        <v>27</v>
      </c>
      <c r="B135" t="s">
        <v>99</v>
      </c>
      <c r="C135">
        <v>6</v>
      </c>
      <c r="D135">
        <v>33</v>
      </c>
      <c r="E135">
        <v>1960</v>
      </c>
      <c r="F135" t="s">
        <v>318</v>
      </c>
      <c r="I135">
        <v>1</v>
      </c>
      <c r="J135">
        <v>48</v>
      </c>
      <c r="K135">
        <v>7</v>
      </c>
      <c r="L135">
        <v>12</v>
      </c>
      <c r="M135">
        <v>2</v>
      </c>
      <c r="N135">
        <v>0</v>
      </c>
      <c r="O135">
        <v>3</v>
      </c>
      <c r="P135">
        <v>1</v>
      </c>
      <c r="Q135" s="2">
        <f t="shared" si="0"/>
        <v>0.58333333333333337</v>
      </c>
      <c r="R135" s="2">
        <f t="shared" si="1"/>
        <v>0.53846153846153844</v>
      </c>
      <c r="S135" s="2">
        <f t="shared" si="2"/>
        <v>0.4375</v>
      </c>
    </row>
    <row r="136" spans="1:19" x14ac:dyDescent="0.2">
      <c r="A136" t="s">
        <v>27</v>
      </c>
      <c r="B136" t="s">
        <v>99</v>
      </c>
      <c r="C136">
        <v>6</v>
      </c>
      <c r="D136">
        <v>45</v>
      </c>
      <c r="E136">
        <v>1960</v>
      </c>
      <c r="F136" t="s">
        <v>318</v>
      </c>
      <c r="I136">
        <v>1</v>
      </c>
      <c r="J136">
        <v>48</v>
      </c>
      <c r="K136">
        <v>7</v>
      </c>
      <c r="L136">
        <v>12</v>
      </c>
      <c r="M136">
        <v>2</v>
      </c>
      <c r="N136">
        <v>0</v>
      </c>
      <c r="O136">
        <v>3</v>
      </c>
      <c r="P136">
        <v>1</v>
      </c>
      <c r="Q136" s="2">
        <f t="shared" si="0"/>
        <v>0.58333333333333337</v>
      </c>
      <c r="R136" s="2">
        <f t="shared" si="1"/>
        <v>0.53846153846153844</v>
      </c>
      <c r="S136" s="2">
        <f t="shared" si="2"/>
        <v>0.4375</v>
      </c>
    </row>
    <row r="137" spans="1:19" x14ac:dyDescent="0.2">
      <c r="A137" t="s">
        <v>28</v>
      </c>
      <c r="B137" t="s">
        <v>99</v>
      </c>
      <c r="C137">
        <v>6</v>
      </c>
      <c r="D137">
        <v>71</v>
      </c>
      <c r="E137">
        <v>1961</v>
      </c>
      <c r="F137" t="s">
        <v>318</v>
      </c>
      <c r="I137">
        <v>1</v>
      </c>
      <c r="J137">
        <v>509</v>
      </c>
      <c r="K137">
        <v>2</v>
      </c>
      <c r="L137">
        <v>2</v>
      </c>
      <c r="M137">
        <v>0</v>
      </c>
      <c r="N137">
        <v>0</v>
      </c>
      <c r="O137">
        <v>0</v>
      </c>
      <c r="P137">
        <v>1</v>
      </c>
      <c r="Q137" s="2">
        <f t="shared" si="0"/>
        <v>1</v>
      </c>
      <c r="R137" s="2">
        <f t="shared" si="1"/>
        <v>0.66666666666666663</v>
      </c>
      <c r="S137" s="2">
        <f t="shared" si="2"/>
        <v>0.66666666666666663</v>
      </c>
    </row>
    <row r="138" spans="1:19" x14ac:dyDescent="0.2">
      <c r="A138" t="s">
        <v>29</v>
      </c>
      <c r="B138" t="s">
        <v>99</v>
      </c>
      <c r="C138">
        <v>6</v>
      </c>
      <c r="D138">
        <v>61</v>
      </c>
      <c r="E138">
        <v>1961</v>
      </c>
      <c r="F138" t="s">
        <v>318</v>
      </c>
      <c r="I138">
        <v>1</v>
      </c>
      <c r="J138">
        <v>312</v>
      </c>
      <c r="K138">
        <v>3</v>
      </c>
      <c r="L138">
        <v>3</v>
      </c>
      <c r="M138">
        <v>3</v>
      </c>
      <c r="N138">
        <v>0</v>
      </c>
      <c r="O138">
        <v>0</v>
      </c>
      <c r="P138">
        <v>0</v>
      </c>
      <c r="Q138" s="2">
        <f t="shared" si="0"/>
        <v>1</v>
      </c>
      <c r="R138" s="2">
        <f t="shared" si="1"/>
        <v>1</v>
      </c>
      <c r="S138" s="2">
        <f t="shared" si="2"/>
        <v>1</v>
      </c>
    </row>
    <row r="139" spans="1:19" x14ac:dyDescent="0.2">
      <c r="A139" t="s">
        <v>29</v>
      </c>
      <c r="B139" t="s">
        <v>99</v>
      </c>
      <c r="C139">
        <v>6</v>
      </c>
      <c r="D139">
        <v>17</v>
      </c>
      <c r="E139">
        <v>1961</v>
      </c>
      <c r="F139" t="s">
        <v>318</v>
      </c>
      <c r="I139">
        <v>1</v>
      </c>
      <c r="J139">
        <v>312</v>
      </c>
      <c r="K139">
        <v>3</v>
      </c>
      <c r="L139">
        <v>3</v>
      </c>
      <c r="M139">
        <v>3</v>
      </c>
      <c r="N139">
        <v>0</v>
      </c>
      <c r="O139">
        <v>0</v>
      </c>
      <c r="P139">
        <v>0</v>
      </c>
      <c r="Q139" s="2">
        <f t="shared" si="0"/>
        <v>1</v>
      </c>
      <c r="R139" s="2">
        <f t="shared" si="1"/>
        <v>1</v>
      </c>
      <c r="S139" s="2">
        <f t="shared" si="2"/>
        <v>1</v>
      </c>
    </row>
    <row r="140" spans="1:19" x14ac:dyDescent="0.2">
      <c r="A140" t="s">
        <v>166</v>
      </c>
      <c r="B140" t="s">
        <v>158</v>
      </c>
      <c r="C140">
        <v>12</v>
      </c>
      <c r="D140">
        <v>105</v>
      </c>
      <c r="E140" t="s">
        <v>115</v>
      </c>
    </row>
    <row r="141" spans="1:19" x14ac:dyDescent="0.2">
      <c r="A141" t="s">
        <v>30</v>
      </c>
      <c r="B141" t="s">
        <v>99</v>
      </c>
      <c r="C141">
        <v>6</v>
      </c>
      <c r="D141">
        <v>37</v>
      </c>
      <c r="E141">
        <v>1961</v>
      </c>
      <c r="F141" t="s">
        <v>318</v>
      </c>
      <c r="I141">
        <v>1</v>
      </c>
      <c r="J141">
        <v>38</v>
      </c>
      <c r="K141">
        <v>2</v>
      </c>
      <c r="L141">
        <v>5</v>
      </c>
      <c r="M141">
        <v>1</v>
      </c>
      <c r="N141">
        <v>1</v>
      </c>
      <c r="O141">
        <v>5</v>
      </c>
      <c r="P141">
        <v>3</v>
      </c>
      <c r="Q141" s="2">
        <f>K141/L141</f>
        <v>0.4</v>
      </c>
      <c r="R141" s="2">
        <f>K141/(L141+N141+P141)</f>
        <v>0.22222222222222221</v>
      </c>
      <c r="S141" s="2">
        <f>K141/(L141+N141+O141+P141)</f>
        <v>0.14285714285714285</v>
      </c>
    </row>
    <row r="142" spans="1:19" x14ac:dyDescent="0.2">
      <c r="A142" t="s">
        <v>30</v>
      </c>
      <c r="B142" t="s">
        <v>225</v>
      </c>
      <c r="C142">
        <v>42</v>
      </c>
      <c r="D142">
        <v>71</v>
      </c>
      <c r="E142" t="s">
        <v>115</v>
      </c>
    </row>
    <row r="143" spans="1:19" x14ac:dyDescent="0.2">
      <c r="A143" t="s">
        <v>254</v>
      </c>
      <c r="B143" t="s">
        <v>225</v>
      </c>
      <c r="C143">
        <v>42</v>
      </c>
      <c r="D143">
        <v>91</v>
      </c>
      <c r="E143" t="s">
        <v>121</v>
      </c>
    </row>
    <row r="144" spans="1:19" x14ac:dyDescent="0.2">
      <c r="A144" t="s">
        <v>310</v>
      </c>
      <c r="B144" t="s">
        <v>118</v>
      </c>
      <c r="C144">
        <v>5</v>
      </c>
      <c r="D144">
        <v>93</v>
      </c>
      <c r="E144" t="s">
        <v>115</v>
      </c>
    </row>
    <row r="145" spans="1:20" x14ac:dyDescent="0.2">
      <c r="A145" t="s">
        <v>119</v>
      </c>
      <c r="B145" t="s">
        <v>118</v>
      </c>
      <c r="C145">
        <v>5</v>
      </c>
      <c r="D145">
        <v>119</v>
      </c>
      <c r="E145" t="s">
        <v>115</v>
      </c>
    </row>
    <row r="146" spans="1:20" x14ac:dyDescent="0.2">
      <c r="A146" t="s">
        <v>255</v>
      </c>
      <c r="B146" t="s">
        <v>225</v>
      </c>
      <c r="C146">
        <v>42</v>
      </c>
      <c r="D146">
        <v>1</v>
      </c>
      <c r="E146" t="s">
        <v>121</v>
      </c>
    </row>
    <row r="147" spans="1:20" x14ac:dyDescent="0.2">
      <c r="A147" t="s">
        <v>31</v>
      </c>
      <c r="B147" t="s">
        <v>99</v>
      </c>
      <c r="C147">
        <v>6</v>
      </c>
      <c r="D147">
        <v>77</v>
      </c>
      <c r="E147" t="s">
        <v>121</v>
      </c>
      <c r="J147">
        <v>239</v>
      </c>
      <c r="K147">
        <v>1</v>
      </c>
      <c r="L147">
        <v>3</v>
      </c>
      <c r="M147">
        <v>1</v>
      </c>
      <c r="N147">
        <v>0</v>
      </c>
      <c r="O147">
        <v>1</v>
      </c>
      <c r="P147">
        <v>2</v>
      </c>
      <c r="Q147" s="2">
        <f t="shared" ref="Q147:Q155" si="3">K147/L147</f>
        <v>0.33333333333333331</v>
      </c>
      <c r="R147" s="2">
        <f t="shared" ref="R147:R155" si="4">K147/(L147+N147+P147)</f>
        <v>0.2</v>
      </c>
      <c r="S147" s="2">
        <f t="shared" ref="S147:S155" si="5">K147/(L147+N147+O147+P147)</f>
        <v>0.16666666666666666</v>
      </c>
    </row>
    <row r="148" spans="1:20" x14ac:dyDescent="0.2">
      <c r="A148" t="s">
        <v>32</v>
      </c>
      <c r="B148" t="s">
        <v>99</v>
      </c>
      <c r="C148">
        <v>6</v>
      </c>
      <c r="D148">
        <v>83</v>
      </c>
      <c r="E148">
        <v>1961</v>
      </c>
      <c r="F148" t="s">
        <v>318</v>
      </c>
      <c r="I148">
        <v>1</v>
      </c>
      <c r="J148">
        <v>510</v>
      </c>
      <c r="K148">
        <v>1</v>
      </c>
      <c r="L148">
        <v>2</v>
      </c>
      <c r="M148">
        <v>1</v>
      </c>
      <c r="N148">
        <v>0</v>
      </c>
      <c r="O148">
        <v>0</v>
      </c>
      <c r="P148">
        <v>1</v>
      </c>
      <c r="Q148" s="2">
        <f t="shared" si="3"/>
        <v>0.5</v>
      </c>
      <c r="R148" s="2">
        <f t="shared" si="4"/>
        <v>0.33333333333333331</v>
      </c>
      <c r="S148" s="2">
        <f t="shared" si="5"/>
        <v>0.33333333333333331</v>
      </c>
      <c r="T148" t="s">
        <v>83</v>
      </c>
    </row>
    <row r="149" spans="1:20" x14ac:dyDescent="0.2">
      <c r="A149" t="s">
        <v>33</v>
      </c>
      <c r="B149" t="s">
        <v>99</v>
      </c>
      <c r="C149">
        <v>6</v>
      </c>
      <c r="D149">
        <v>85</v>
      </c>
      <c r="E149">
        <v>1961</v>
      </c>
      <c r="F149" t="s">
        <v>318</v>
      </c>
      <c r="I149">
        <v>1</v>
      </c>
      <c r="J149">
        <v>143</v>
      </c>
      <c r="K149">
        <v>4</v>
      </c>
      <c r="L149">
        <v>16</v>
      </c>
      <c r="M149">
        <v>3</v>
      </c>
      <c r="N149">
        <v>0</v>
      </c>
      <c r="O149">
        <v>17</v>
      </c>
      <c r="P149">
        <v>6</v>
      </c>
      <c r="Q149" s="2">
        <f t="shared" si="3"/>
        <v>0.25</v>
      </c>
      <c r="R149" s="2">
        <f t="shared" si="4"/>
        <v>0.18181818181818182</v>
      </c>
      <c r="S149" s="2">
        <f t="shared" si="5"/>
        <v>0.10256410256410256</v>
      </c>
    </row>
    <row r="150" spans="1:20" x14ac:dyDescent="0.2">
      <c r="A150" t="s">
        <v>34</v>
      </c>
      <c r="B150" t="s">
        <v>99</v>
      </c>
      <c r="C150">
        <v>6</v>
      </c>
      <c r="D150">
        <v>37</v>
      </c>
      <c r="E150">
        <v>1961</v>
      </c>
      <c r="F150" t="s">
        <v>318</v>
      </c>
      <c r="I150">
        <v>1</v>
      </c>
      <c r="J150">
        <v>347</v>
      </c>
      <c r="K150">
        <v>17</v>
      </c>
      <c r="L150">
        <v>18</v>
      </c>
      <c r="M150">
        <v>3</v>
      </c>
      <c r="N150">
        <v>0</v>
      </c>
      <c r="O150">
        <v>11</v>
      </c>
      <c r="P150">
        <v>10</v>
      </c>
      <c r="Q150" s="2">
        <f t="shared" si="3"/>
        <v>0.94444444444444442</v>
      </c>
      <c r="R150" s="2">
        <f t="shared" si="4"/>
        <v>0.6071428571428571</v>
      </c>
      <c r="S150" s="2">
        <f t="shared" si="5"/>
        <v>0.4358974358974359</v>
      </c>
    </row>
    <row r="151" spans="1:20" x14ac:dyDescent="0.2">
      <c r="A151" t="s">
        <v>68</v>
      </c>
      <c r="B151" t="s">
        <v>99</v>
      </c>
      <c r="C151">
        <v>6</v>
      </c>
      <c r="D151">
        <v>37</v>
      </c>
      <c r="E151">
        <v>1961</v>
      </c>
      <c r="F151" t="s">
        <v>318</v>
      </c>
      <c r="I151">
        <v>1</v>
      </c>
      <c r="J151">
        <v>11</v>
      </c>
      <c r="K151">
        <v>155</v>
      </c>
      <c r="L151">
        <v>400</v>
      </c>
      <c r="M151">
        <v>77</v>
      </c>
      <c r="N151">
        <v>45</v>
      </c>
      <c r="O151">
        <v>450</v>
      </c>
      <c r="P151">
        <v>170</v>
      </c>
      <c r="Q151" s="2">
        <f t="shared" si="3"/>
        <v>0.38750000000000001</v>
      </c>
      <c r="R151" s="2">
        <f t="shared" si="4"/>
        <v>0.25203252032520324</v>
      </c>
      <c r="S151" s="2">
        <f t="shared" si="5"/>
        <v>0.14553990610328638</v>
      </c>
    </row>
    <row r="152" spans="1:20" x14ac:dyDescent="0.2">
      <c r="A152" t="s">
        <v>35</v>
      </c>
      <c r="B152" t="s">
        <v>99</v>
      </c>
      <c r="C152">
        <v>6</v>
      </c>
      <c r="D152">
        <v>37</v>
      </c>
      <c r="E152">
        <v>1961</v>
      </c>
      <c r="F152" t="s">
        <v>318</v>
      </c>
      <c r="I152">
        <v>1</v>
      </c>
      <c r="J152">
        <v>11</v>
      </c>
      <c r="K152">
        <v>16</v>
      </c>
      <c r="L152">
        <v>30</v>
      </c>
      <c r="M152">
        <v>1</v>
      </c>
      <c r="N152">
        <v>2</v>
      </c>
      <c r="O152">
        <v>34</v>
      </c>
      <c r="P152">
        <v>25</v>
      </c>
      <c r="Q152" s="2">
        <f t="shared" si="3"/>
        <v>0.53333333333333333</v>
      </c>
      <c r="R152" s="2">
        <f t="shared" si="4"/>
        <v>0.2807017543859649</v>
      </c>
      <c r="S152" s="2">
        <f t="shared" si="5"/>
        <v>0.17582417582417584</v>
      </c>
    </row>
    <row r="153" spans="1:20" x14ac:dyDescent="0.2">
      <c r="A153" t="s">
        <v>36</v>
      </c>
      <c r="B153" t="s">
        <v>99</v>
      </c>
      <c r="C153">
        <v>6</v>
      </c>
      <c r="D153">
        <v>37</v>
      </c>
      <c r="E153">
        <v>1961</v>
      </c>
      <c r="F153" t="s">
        <v>318</v>
      </c>
      <c r="I153">
        <v>1</v>
      </c>
      <c r="J153">
        <v>11</v>
      </c>
      <c r="K153">
        <v>32</v>
      </c>
      <c r="L153">
        <v>45</v>
      </c>
      <c r="M153">
        <v>3</v>
      </c>
      <c r="N153">
        <v>2</v>
      </c>
      <c r="O153">
        <v>35</v>
      </c>
      <c r="P153">
        <v>30</v>
      </c>
      <c r="Q153" s="2">
        <f t="shared" si="3"/>
        <v>0.71111111111111114</v>
      </c>
      <c r="R153" s="2">
        <f t="shared" si="4"/>
        <v>0.41558441558441561</v>
      </c>
      <c r="S153" s="2">
        <f t="shared" si="5"/>
        <v>0.2857142857142857</v>
      </c>
    </row>
    <row r="154" spans="1:20" x14ac:dyDescent="0.2">
      <c r="A154" t="s">
        <v>37</v>
      </c>
      <c r="B154" t="s">
        <v>99</v>
      </c>
      <c r="C154">
        <v>6</v>
      </c>
      <c r="D154">
        <v>37</v>
      </c>
      <c r="E154">
        <v>1961</v>
      </c>
      <c r="F154" t="s">
        <v>318</v>
      </c>
      <c r="I154">
        <v>1</v>
      </c>
      <c r="J154">
        <v>11</v>
      </c>
      <c r="K154">
        <v>22</v>
      </c>
      <c r="L154">
        <v>31</v>
      </c>
      <c r="M154">
        <v>3</v>
      </c>
      <c r="N154">
        <v>2</v>
      </c>
      <c r="O154">
        <v>23</v>
      </c>
      <c r="P154">
        <v>12</v>
      </c>
      <c r="Q154" s="2">
        <f t="shared" si="3"/>
        <v>0.70967741935483875</v>
      </c>
      <c r="R154" s="2">
        <f t="shared" si="4"/>
        <v>0.48888888888888887</v>
      </c>
      <c r="S154" s="2">
        <f t="shared" si="5"/>
        <v>0.3235294117647059</v>
      </c>
    </row>
    <row r="155" spans="1:20" x14ac:dyDescent="0.2">
      <c r="A155" t="s">
        <v>38</v>
      </c>
      <c r="B155" t="s">
        <v>99</v>
      </c>
      <c r="C155">
        <v>6</v>
      </c>
      <c r="D155">
        <v>85</v>
      </c>
      <c r="E155" t="s">
        <v>114</v>
      </c>
      <c r="J155">
        <v>436</v>
      </c>
      <c r="K155">
        <v>3</v>
      </c>
      <c r="L155">
        <v>6</v>
      </c>
      <c r="M155">
        <v>0</v>
      </c>
      <c r="N155">
        <v>0</v>
      </c>
      <c r="O155">
        <v>3</v>
      </c>
      <c r="P155">
        <v>1</v>
      </c>
      <c r="Q155" s="2">
        <f t="shared" si="3"/>
        <v>0.5</v>
      </c>
      <c r="R155" s="2">
        <f t="shared" si="4"/>
        <v>0.42857142857142855</v>
      </c>
      <c r="S155" s="2">
        <f t="shared" si="5"/>
        <v>0.3</v>
      </c>
    </row>
    <row r="156" spans="1:20" x14ac:dyDescent="0.2">
      <c r="A156" t="s">
        <v>256</v>
      </c>
      <c r="B156" t="s">
        <v>225</v>
      </c>
      <c r="C156">
        <v>42</v>
      </c>
      <c r="D156">
        <v>17</v>
      </c>
      <c r="E156">
        <v>1961</v>
      </c>
      <c r="F156" t="s">
        <v>348</v>
      </c>
      <c r="I156">
        <v>0</v>
      </c>
    </row>
    <row r="157" spans="1:20" x14ac:dyDescent="0.2">
      <c r="A157" t="s">
        <v>177</v>
      </c>
      <c r="B157" t="s">
        <v>175</v>
      </c>
      <c r="C157">
        <v>13</v>
      </c>
      <c r="D157">
        <v>21</v>
      </c>
      <c r="E157" t="s">
        <v>115</v>
      </c>
    </row>
    <row r="158" spans="1:20" x14ac:dyDescent="0.2">
      <c r="A158" t="s">
        <v>131</v>
      </c>
      <c r="B158" t="s">
        <v>125</v>
      </c>
      <c r="C158">
        <v>9</v>
      </c>
      <c r="D158">
        <v>3</v>
      </c>
      <c r="E158" t="s">
        <v>123</v>
      </c>
    </row>
    <row r="159" spans="1:20" x14ac:dyDescent="0.2">
      <c r="A159" t="s">
        <v>39</v>
      </c>
      <c r="B159" t="s">
        <v>99</v>
      </c>
      <c r="C159">
        <v>6</v>
      </c>
      <c r="D159">
        <v>41</v>
      </c>
      <c r="E159">
        <v>1961</v>
      </c>
      <c r="F159" t="s">
        <v>318</v>
      </c>
      <c r="I159">
        <v>1</v>
      </c>
      <c r="J159">
        <v>94</v>
      </c>
      <c r="K159">
        <v>9</v>
      </c>
      <c r="L159">
        <v>23</v>
      </c>
      <c r="M159">
        <v>3</v>
      </c>
      <c r="N159">
        <v>0</v>
      </c>
      <c r="O159">
        <v>6</v>
      </c>
      <c r="P159">
        <v>6</v>
      </c>
      <c r="Q159" s="2">
        <f>K159/L159</f>
        <v>0.39130434782608697</v>
      </c>
      <c r="R159" s="2">
        <f>K159/(L159+N159+P159)</f>
        <v>0.31034482758620691</v>
      </c>
      <c r="S159" s="2">
        <f>K159/(L159+N159+O159+P159)</f>
        <v>0.25714285714285712</v>
      </c>
    </row>
    <row r="160" spans="1:20" x14ac:dyDescent="0.2">
      <c r="A160" t="s">
        <v>200</v>
      </c>
      <c r="B160" t="s">
        <v>183</v>
      </c>
      <c r="C160">
        <v>19</v>
      </c>
      <c r="D160">
        <v>127</v>
      </c>
      <c r="E160" t="s">
        <v>115</v>
      </c>
    </row>
    <row r="161" spans="1:20" x14ac:dyDescent="0.2">
      <c r="A161" t="s">
        <v>201</v>
      </c>
      <c r="B161" t="s">
        <v>183</v>
      </c>
      <c r="C161">
        <v>19</v>
      </c>
      <c r="D161">
        <v>33</v>
      </c>
      <c r="E161" t="s">
        <v>122</v>
      </c>
    </row>
    <row r="162" spans="1:20" x14ac:dyDescent="0.2">
      <c r="A162" t="s">
        <v>257</v>
      </c>
      <c r="B162" t="s">
        <v>225</v>
      </c>
      <c r="C162">
        <v>42</v>
      </c>
      <c r="D162">
        <v>3</v>
      </c>
      <c r="E162" t="s">
        <v>122</v>
      </c>
    </row>
    <row r="163" spans="1:20" x14ac:dyDescent="0.2">
      <c r="A163" t="s">
        <v>258</v>
      </c>
      <c r="B163" t="s">
        <v>225</v>
      </c>
      <c r="C163">
        <v>42</v>
      </c>
      <c r="D163">
        <v>41</v>
      </c>
      <c r="E163" t="s">
        <v>115</v>
      </c>
    </row>
    <row r="164" spans="1:20" x14ac:dyDescent="0.2">
      <c r="A164" t="s">
        <v>135</v>
      </c>
      <c r="B164" t="s">
        <v>125</v>
      </c>
      <c r="C164">
        <v>9</v>
      </c>
      <c r="D164">
        <v>9</v>
      </c>
      <c r="E164">
        <v>1967</v>
      </c>
      <c r="F164" t="s">
        <v>332</v>
      </c>
      <c r="I164">
        <v>0</v>
      </c>
      <c r="T164" t="s">
        <v>328</v>
      </c>
    </row>
    <row r="165" spans="1:20" x14ac:dyDescent="0.2">
      <c r="A165" t="s">
        <v>167</v>
      </c>
      <c r="B165" t="s">
        <v>158</v>
      </c>
      <c r="C165">
        <v>12</v>
      </c>
      <c r="D165">
        <v>86</v>
      </c>
      <c r="E165" t="s">
        <v>114</v>
      </c>
    </row>
    <row r="166" spans="1:20" x14ac:dyDescent="0.2">
      <c r="A166" t="s">
        <v>136</v>
      </c>
      <c r="B166" t="s">
        <v>125</v>
      </c>
      <c r="C166">
        <v>9</v>
      </c>
      <c r="D166">
        <v>7</v>
      </c>
      <c r="E166" t="s">
        <v>122</v>
      </c>
    </row>
    <row r="167" spans="1:20" x14ac:dyDescent="0.2">
      <c r="A167" t="s">
        <v>137</v>
      </c>
      <c r="B167" t="s">
        <v>125</v>
      </c>
      <c r="C167">
        <v>9</v>
      </c>
      <c r="D167">
        <v>9</v>
      </c>
      <c r="E167">
        <v>1964</v>
      </c>
      <c r="F167" t="s">
        <v>329</v>
      </c>
      <c r="I167">
        <v>1</v>
      </c>
    </row>
    <row r="168" spans="1:20" x14ac:dyDescent="0.2">
      <c r="A168" t="s">
        <v>105</v>
      </c>
      <c r="B168" t="s">
        <v>100</v>
      </c>
      <c r="C168">
        <v>1</v>
      </c>
      <c r="D168">
        <v>97</v>
      </c>
      <c r="E168" t="s">
        <v>115</v>
      </c>
    </row>
    <row r="169" spans="1:20" x14ac:dyDescent="0.2">
      <c r="A169" t="s">
        <v>259</v>
      </c>
      <c r="B169" t="s">
        <v>225</v>
      </c>
      <c r="C169">
        <v>42</v>
      </c>
      <c r="D169">
        <v>129</v>
      </c>
      <c r="E169" t="s">
        <v>149</v>
      </c>
    </row>
    <row r="170" spans="1:20" x14ac:dyDescent="0.2">
      <c r="A170" t="s">
        <v>260</v>
      </c>
      <c r="B170" t="s">
        <v>225</v>
      </c>
      <c r="C170">
        <v>42</v>
      </c>
      <c r="D170">
        <v>3</v>
      </c>
      <c r="E170" t="s">
        <v>121</v>
      </c>
    </row>
    <row r="171" spans="1:20" x14ac:dyDescent="0.2">
      <c r="A171" t="s">
        <v>84</v>
      </c>
      <c r="B171" t="s">
        <v>99</v>
      </c>
      <c r="C171">
        <v>6</v>
      </c>
      <c r="D171">
        <v>53</v>
      </c>
      <c r="E171">
        <v>1961</v>
      </c>
      <c r="F171" t="s">
        <v>318</v>
      </c>
      <c r="I171">
        <v>1</v>
      </c>
      <c r="J171">
        <v>58</v>
      </c>
      <c r="K171">
        <v>10</v>
      </c>
      <c r="L171">
        <v>27</v>
      </c>
      <c r="M171">
        <v>7</v>
      </c>
      <c r="N171">
        <v>0</v>
      </c>
      <c r="O171">
        <v>15</v>
      </c>
      <c r="P171">
        <v>5</v>
      </c>
      <c r="Q171" s="2">
        <f>K171/L171</f>
        <v>0.37037037037037035</v>
      </c>
      <c r="R171" s="2">
        <f>K171/(L171+N171+P171)</f>
        <v>0.3125</v>
      </c>
      <c r="S171" s="2">
        <f>K171/(L171+N171+O171+P171)</f>
        <v>0.21276595744680851</v>
      </c>
    </row>
    <row r="172" spans="1:20" x14ac:dyDescent="0.2">
      <c r="A172" t="s">
        <v>84</v>
      </c>
      <c r="B172" t="s">
        <v>99</v>
      </c>
      <c r="C172">
        <v>6</v>
      </c>
      <c r="D172">
        <v>69</v>
      </c>
      <c r="E172">
        <v>1961</v>
      </c>
      <c r="F172" t="s">
        <v>318</v>
      </c>
      <c r="I172">
        <v>1</v>
      </c>
      <c r="J172">
        <v>58</v>
      </c>
      <c r="K172">
        <v>10</v>
      </c>
      <c r="L172">
        <v>27</v>
      </c>
      <c r="M172">
        <v>7</v>
      </c>
      <c r="N172">
        <v>0</v>
      </c>
      <c r="O172">
        <v>15</v>
      </c>
      <c r="P172">
        <v>5</v>
      </c>
      <c r="Q172" s="2">
        <f>K172/L172</f>
        <v>0.37037037037037035</v>
      </c>
      <c r="R172" s="2">
        <f>K172/(L172+N172+P172)</f>
        <v>0.3125</v>
      </c>
      <c r="S172" s="2">
        <f>K172/(L172+N172+O172+P172)</f>
        <v>0.21276595744680851</v>
      </c>
    </row>
    <row r="173" spans="1:20" x14ac:dyDescent="0.2">
      <c r="A173" t="s">
        <v>106</v>
      </c>
      <c r="B173" t="s">
        <v>100</v>
      </c>
      <c r="C173">
        <v>1</v>
      </c>
      <c r="D173">
        <v>101</v>
      </c>
      <c r="E173">
        <v>1961</v>
      </c>
      <c r="F173" t="s">
        <v>330</v>
      </c>
      <c r="I173">
        <v>1</v>
      </c>
    </row>
    <row r="174" spans="1:20" x14ac:dyDescent="0.2">
      <c r="A174" t="s">
        <v>261</v>
      </c>
      <c r="B174" t="s">
        <v>225</v>
      </c>
      <c r="C174">
        <v>42</v>
      </c>
      <c r="D174">
        <v>69</v>
      </c>
      <c r="E174" t="s">
        <v>115</v>
      </c>
    </row>
    <row r="175" spans="1:20" x14ac:dyDescent="0.2">
      <c r="A175" t="s">
        <v>40</v>
      </c>
      <c r="B175" t="s">
        <v>99</v>
      </c>
      <c r="C175">
        <v>6</v>
      </c>
      <c r="D175">
        <v>85</v>
      </c>
      <c r="E175">
        <v>1961</v>
      </c>
      <c r="F175" t="s">
        <v>318</v>
      </c>
      <c r="I175">
        <v>1</v>
      </c>
      <c r="J175">
        <v>184</v>
      </c>
      <c r="K175">
        <v>1</v>
      </c>
      <c r="L175">
        <v>3</v>
      </c>
      <c r="M175">
        <v>1</v>
      </c>
      <c r="N175">
        <v>0</v>
      </c>
      <c r="O175">
        <v>0</v>
      </c>
      <c r="P175">
        <v>0</v>
      </c>
      <c r="Q175" s="2">
        <f>K175/L175</f>
        <v>0.33333333333333331</v>
      </c>
      <c r="R175" s="2">
        <f>K175/(L175+N175+P175)</f>
        <v>0.33333333333333331</v>
      </c>
      <c r="S175" s="2">
        <f>K175/(L175+N175+O175+P175)</f>
        <v>0.33333333333333331</v>
      </c>
    </row>
    <row r="176" spans="1:20" x14ac:dyDescent="0.2">
      <c r="A176" t="s">
        <v>262</v>
      </c>
      <c r="B176" t="s">
        <v>225</v>
      </c>
      <c r="C176">
        <v>42</v>
      </c>
      <c r="D176">
        <v>97</v>
      </c>
      <c r="E176" t="s">
        <v>121</v>
      </c>
    </row>
    <row r="177" spans="1:20" x14ac:dyDescent="0.2">
      <c r="A177" t="s">
        <v>202</v>
      </c>
      <c r="B177" t="s">
        <v>183</v>
      </c>
      <c r="C177">
        <v>19</v>
      </c>
      <c r="D177">
        <v>139</v>
      </c>
      <c r="E177" t="s">
        <v>122</v>
      </c>
    </row>
    <row r="178" spans="1:20" x14ac:dyDescent="0.2">
      <c r="A178" t="s">
        <v>263</v>
      </c>
      <c r="B178" t="s">
        <v>225</v>
      </c>
      <c r="C178">
        <v>42</v>
      </c>
      <c r="D178">
        <v>79</v>
      </c>
      <c r="E178" t="s">
        <v>115</v>
      </c>
    </row>
    <row r="179" spans="1:20" x14ac:dyDescent="0.2">
      <c r="A179" t="s">
        <v>41</v>
      </c>
      <c r="B179" t="s">
        <v>99</v>
      </c>
      <c r="C179">
        <v>6</v>
      </c>
      <c r="D179">
        <v>55</v>
      </c>
      <c r="E179">
        <v>1960</v>
      </c>
      <c r="F179" t="s">
        <v>318</v>
      </c>
      <c r="I179">
        <v>1</v>
      </c>
      <c r="J179">
        <v>146</v>
      </c>
      <c r="K179">
        <v>4</v>
      </c>
      <c r="L179">
        <v>6</v>
      </c>
      <c r="M179">
        <v>3</v>
      </c>
      <c r="N179">
        <v>0</v>
      </c>
      <c r="O179">
        <v>8</v>
      </c>
      <c r="P179">
        <v>1</v>
      </c>
      <c r="Q179" s="2">
        <f>K179/L179</f>
        <v>0.66666666666666663</v>
      </c>
      <c r="R179" s="2">
        <f>K179/(L179+N179+P179)</f>
        <v>0.5714285714285714</v>
      </c>
      <c r="S179" s="2">
        <f>K179/(L179+N179+O179+P179)</f>
        <v>0.26666666666666666</v>
      </c>
    </row>
    <row r="180" spans="1:20" x14ac:dyDescent="0.2">
      <c r="A180" t="s">
        <v>138</v>
      </c>
      <c r="B180" t="s">
        <v>125</v>
      </c>
      <c r="C180">
        <v>9</v>
      </c>
      <c r="D180">
        <v>3</v>
      </c>
      <c r="E180">
        <v>1965</v>
      </c>
      <c r="F180" t="s">
        <v>333</v>
      </c>
      <c r="I180">
        <v>0</v>
      </c>
    </row>
    <row r="181" spans="1:20" x14ac:dyDescent="0.2">
      <c r="A181" t="s">
        <v>140</v>
      </c>
      <c r="B181" t="s">
        <v>125</v>
      </c>
      <c r="C181">
        <v>9</v>
      </c>
      <c r="D181">
        <v>9</v>
      </c>
      <c r="E181">
        <v>1953</v>
      </c>
      <c r="F181" t="s">
        <v>334</v>
      </c>
      <c r="I181">
        <v>0</v>
      </c>
    </row>
    <row r="182" spans="1:20" x14ac:dyDescent="0.2">
      <c r="A182" t="s">
        <v>107</v>
      </c>
      <c r="B182" t="s">
        <v>100</v>
      </c>
      <c r="C182">
        <v>1</v>
      </c>
      <c r="D182">
        <v>89</v>
      </c>
      <c r="E182" t="s">
        <v>115</v>
      </c>
    </row>
    <row r="183" spans="1:20" x14ac:dyDescent="0.2">
      <c r="A183" t="s">
        <v>264</v>
      </c>
      <c r="B183" t="s">
        <v>225</v>
      </c>
      <c r="C183">
        <v>42</v>
      </c>
      <c r="D183">
        <v>129</v>
      </c>
      <c r="E183" t="s">
        <v>115</v>
      </c>
    </row>
    <row r="184" spans="1:20" x14ac:dyDescent="0.2">
      <c r="A184" t="s">
        <v>141</v>
      </c>
      <c r="B184" t="s">
        <v>125</v>
      </c>
      <c r="C184">
        <v>9</v>
      </c>
      <c r="D184">
        <v>11</v>
      </c>
      <c r="E184">
        <v>1968</v>
      </c>
      <c r="F184" t="s">
        <v>335</v>
      </c>
      <c r="I184">
        <v>0</v>
      </c>
    </row>
    <row r="185" spans="1:20" x14ac:dyDescent="0.2">
      <c r="A185" t="s">
        <v>142</v>
      </c>
      <c r="B185" t="s">
        <v>125</v>
      </c>
      <c r="C185">
        <v>9</v>
      </c>
      <c r="D185">
        <v>5</v>
      </c>
      <c r="E185">
        <v>1966</v>
      </c>
      <c r="F185" t="s">
        <v>333</v>
      </c>
      <c r="I185">
        <v>0</v>
      </c>
    </row>
    <row r="186" spans="1:20" x14ac:dyDescent="0.2">
      <c r="A186" t="s">
        <v>42</v>
      </c>
      <c r="B186" t="s">
        <v>99</v>
      </c>
      <c r="C186">
        <v>6</v>
      </c>
      <c r="D186">
        <v>37</v>
      </c>
      <c r="E186">
        <v>1961</v>
      </c>
      <c r="F186" t="s">
        <v>318</v>
      </c>
      <c r="I186">
        <v>1</v>
      </c>
      <c r="J186">
        <v>27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1</v>
      </c>
      <c r="Q186" s="2">
        <f>K186/L186</f>
        <v>1</v>
      </c>
      <c r="R186" s="2">
        <f>K186/(L186+N186+P186)</f>
        <v>0.5</v>
      </c>
      <c r="S186" s="2">
        <f>K186/(L186+N186+O186+P186)</f>
        <v>0.33333333333333331</v>
      </c>
    </row>
    <row r="187" spans="1:20" x14ac:dyDescent="0.2">
      <c r="A187" t="s">
        <v>301</v>
      </c>
      <c r="B187" t="s">
        <v>111</v>
      </c>
      <c r="C187">
        <v>4</v>
      </c>
      <c r="D187">
        <v>23</v>
      </c>
      <c r="E187" t="s">
        <v>121</v>
      </c>
    </row>
    <row r="188" spans="1:20" x14ac:dyDescent="0.2">
      <c r="A188" t="s">
        <v>265</v>
      </c>
      <c r="B188" t="s">
        <v>225</v>
      </c>
      <c r="C188">
        <v>42</v>
      </c>
      <c r="D188">
        <v>91</v>
      </c>
      <c r="E188">
        <v>1959</v>
      </c>
      <c r="F188" t="s">
        <v>349</v>
      </c>
      <c r="I188">
        <v>0</v>
      </c>
      <c r="T188" t="s">
        <v>350</v>
      </c>
    </row>
    <row r="189" spans="1:20" x14ac:dyDescent="0.2">
      <c r="A189" t="s">
        <v>266</v>
      </c>
      <c r="B189" t="s">
        <v>225</v>
      </c>
      <c r="C189">
        <v>42</v>
      </c>
      <c r="D189">
        <v>3</v>
      </c>
      <c r="E189">
        <v>1972</v>
      </c>
      <c r="F189" t="s">
        <v>351</v>
      </c>
      <c r="I189">
        <v>0</v>
      </c>
    </row>
    <row r="190" spans="1:20" x14ac:dyDescent="0.2">
      <c r="A190" t="s">
        <v>143</v>
      </c>
      <c r="B190" t="s">
        <v>125</v>
      </c>
      <c r="C190">
        <v>9</v>
      </c>
      <c r="D190">
        <v>1</v>
      </c>
      <c r="E190" t="s">
        <v>129</v>
      </c>
    </row>
    <row r="191" spans="1:20" x14ac:dyDescent="0.2">
      <c r="A191" t="s">
        <v>144</v>
      </c>
      <c r="B191" t="s">
        <v>125</v>
      </c>
      <c r="C191">
        <v>9</v>
      </c>
      <c r="D191">
        <v>11</v>
      </c>
      <c r="E191" t="s">
        <v>145</v>
      </c>
    </row>
    <row r="192" spans="1:20" x14ac:dyDescent="0.2">
      <c r="A192" t="s">
        <v>93</v>
      </c>
      <c r="B192" t="s">
        <v>99</v>
      </c>
      <c r="C192">
        <v>6</v>
      </c>
      <c r="D192">
        <v>41</v>
      </c>
      <c r="E192">
        <v>1961</v>
      </c>
      <c r="F192" t="s">
        <v>318</v>
      </c>
      <c r="I192">
        <v>1</v>
      </c>
      <c r="Q192" s="2"/>
      <c r="R192" s="2"/>
      <c r="S192" s="2"/>
    </row>
    <row r="193" spans="1:19" x14ac:dyDescent="0.2">
      <c r="A193" t="s">
        <v>94</v>
      </c>
      <c r="B193" t="s">
        <v>99</v>
      </c>
      <c r="C193">
        <v>6</v>
      </c>
      <c r="D193">
        <v>1</v>
      </c>
      <c r="E193">
        <v>1961</v>
      </c>
      <c r="F193" t="s">
        <v>318</v>
      </c>
      <c r="I193">
        <v>1</v>
      </c>
      <c r="Q193" s="2"/>
      <c r="R193" s="2"/>
      <c r="S193" s="2"/>
    </row>
    <row r="194" spans="1:19" x14ac:dyDescent="0.2">
      <c r="A194" t="s">
        <v>43</v>
      </c>
      <c r="B194" t="s">
        <v>99</v>
      </c>
      <c r="C194">
        <v>6</v>
      </c>
      <c r="D194">
        <v>71</v>
      </c>
      <c r="E194">
        <v>1961</v>
      </c>
      <c r="F194" t="s">
        <v>318</v>
      </c>
      <c r="I194">
        <v>1</v>
      </c>
      <c r="J194">
        <v>55</v>
      </c>
      <c r="K194">
        <v>5</v>
      </c>
      <c r="L194">
        <v>12</v>
      </c>
      <c r="M194">
        <v>2</v>
      </c>
      <c r="N194">
        <v>0</v>
      </c>
      <c r="O194">
        <v>7</v>
      </c>
      <c r="P194">
        <v>6</v>
      </c>
      <c r="Q194" s="2">
        <f>K194/L194</f>
        <v>0.41666666666666669</v>
      </c>
      <c r="R194" s="2">
        <f>K194/(L194+N194+P194)</f>
        <v>0.27777777777777779</v>
      </c>
      <c r="S194" s="2">
        <f>K194/(L194+N194+O194+P194)</f>
        <v>0.2</v>
      </c>
    </row>
    <row r="195" spans="1:19" x14ac:dyDescent="0.2">
      <c r="A195" t="s">
        <v>69</v>
      </c>
      <c r="B195" t="s">
        <v>99</v>
      </c>
      <c r="C195">
        <v>6</v>
      </c>
      <c r="D195">
        <v>59</v>
      </c>
      <c r="E195">
        <v>1962</v>
      </c>
      <c r="F195" t="s">
        <v>318</v>
      </c>
      <c r="I195">
        <v>1</v>
      </c>
      <c r="Q195" s="2"/>
      <c r="R195" s="2"/>
      <c r="S195" s="2"/>
    </row>
    <row r="196" spans="1:19" x14ac:dyDescent="0.2">
      <c r="A196" t="s">
        <v>69</v>
      </c>
      <c r="B196" t="s">
        <v>99</v>
      </c>
      <c r="C196">
        <v>6</v>
      </c>
      <c r="D196">
        <v>59</v>
      </c>
      <c r="E196">
        <v>1962</v>
      </c>
      <c r="F196" t="s">
        <v>318</v>
      </c>
      <c r="I196">
        <v>1</v>
      </c>
      <c r="J196">
        <v>12</v>
      </c>
      <c r="K196">
        <v>22</v>
      </c>
      <c r="L196">
        <v>55</v>
      </c>
      <c r="M196">
        <v>29</v>
      </c>
      <c r="N196">
        <v>5</v>
      </c>
      <c r="O196">
        <v>54</v>
      </c>
      <c r="P196">
        <v>20</v>
      </c>
      <c r="Q196" s="2">
        <f>K196/L196</f>
        <v>0.4</v>
      </c>
      <c r="R196" s="2">
        <f>K196/(L196+N196+P196)</f>
        <v>0.27500000000000002</v>
      </c>
      <c r="S196" s="2">
        <f>K196/(L196+N196+O196+P196)</f>
        <v>0.16417910447761194</v>
      </c>
    </row>
    <row r="197" spans="1:19" x14ac:dyDescent="0.2">
      <c r="A197" t="s">
        <v>168</v>
      </c>
      <c r="B197" t="s">
        <v>158</v>
      </c>
      <c r="C197">
        <v>12</v>
      </c>
      <c r="D197">
        <v>95</v>
      </c>
      <c r="E197" t="s">
        <v>115</v>
      </c>
    </row>
    <row r="198" spans="1:19" x14ac:dyDescent="0.2">
      <c r="A198" t="s">
        <v>203</v>
      </c>
      <c r="B198" t="s">
        <v>183</v>
      </c>
      <c r="C198">
        <v>19</v>
      </c>
      <c r="D198">
        <v>123</v>
      </c>
      <c r="E198" t="s">
        <v>115</v>
      </c>
    </row>
    <row r="199" spans="1:19" x14ac:dyDescent="0.2">
      <c r="A199" t="s">
        <v>204</v>
      </c>
      <c r="B199" t="s">
        <v>183</v>
      </c>
      <c r="C199">
        <v>19</v>
      </c>
      <c r="D199">
        <v>179</v>
      </c>
      <c r="E199" t="s">
        <v>122</v>
      </c>
    </row>
    <row r="200" spans="1:19" x14ac:dyDescent="0.2">
      <c r="A200" t="s">
        <v>44</v>
      </c>
      <c r="B200" t="s">
        <v>99</v>
      </c>
      <c r="C200">
        <v>6</v>
      </c>
      <c r="D200">
        <v>111</v>
      </c>
      <c r="E200">
        <v>1961</v>
      </c>
      <c r="F200" t="s">
        <v>318</v>
      </c>
      <c r="I200">
        <v>1</v>
      </c>
      <c r="J200">
        <v>49</v>
      </c>
      <c r="K200">
        <v>4</v>
      </c>
      <c r="L200">
        <v>7</v>
      </c>
      <c r="M200">
        <v>1</v>
      </c>
      <c r="N200">
        <v>0</v>
      </c>
      <c r="O200">
        <v>5</v>
      </c>
      <c r="P200">
        <v>3</v>
      </c>
      <c r="Q200" s="2">
        <f>K200/L200</f>
        <v>0.5714285714285714</v>
      </c>
      <c r="R200" s="2">
        <f>K200/(L200+N200+P200)</f>
        <v>0.4</v>
      </c>
      <c r="S200" s="2">
        <f>K200/(L200+N200+O200+P200)</f>
        <v>0.26666666666666666</v>
      </c>
    </row>
    <row r="201" spans="1:19" x14ac:dyDescent="0.2">
      <c r="A201" t="s">
        <v>45</v>
      </c>
      <c r="B201" t="s">
        <v>99</v>
      </c>
      <c r="C201">
        <v>6</v>
      </c>
      <c r="D201">
        <v>65</v>
      </c>
      <c r="E201">
        <v>1961</v>
      </c>
      <c r="F201" t="s">
        <v>318</v>
      </c>
      <c r="I201">
        <v>1</v>
      </c>
      <c r="J201">
        <v>173</v>
      </c>
      <c r="K201">
        <v>4</v>
      </c>
      <c r="L201">
        <v>12</v>
      </c>
      <c r="M201">
        <v>3</v>
      </c>
      <c r="N201">
        <v>0</v>
      </c>
      <c r="O201">
        <v>5</v>
      </c>
      <c r="P201">
        <v>3</v>
      </c>
      <c r="Q201" s="2">
        <f>K201/L201</f>
        <v>0.33333333333333331</v>
      </c>
      <c r="R201" s="2">
        <f>K201/(L201+N201+P201)</f>
        <v>0.26666666666666666</v>
      </c>
      <c r="S201" s="2">
        <f>K201/(L201+N201+O201+P201)</f>
        <v>0.2</v>
      </c>
    </row>
    <row r="202" spans="1:19" x14ac:dyDescent="0.2">
      <c r="A202" t="s">
        <v>46</v>
      </c>
      <c r="B202" t="s">
        <v>99</v>
      </c>
      <c r="C202">
        <v>6</v>
      </c>
      <c r="D202">
        <v>37</v>
      </c>
      <c r="E202">
        <v>1961</v>
      </c>
      <c r="F202" t="s">
        <v>318</v>
      </c>
      <c r="I202">
        <v>1</v>
      </c>
      <c r="J202">
        <v>35</v>
      </c>
      <c r="K202">
        <v>1</v>
      </c>
      <c r="L202">
        <v>3</v>
      </c>
      <c r="M202">
        <v>2</v>
      </c>
      <c r="N202">
        <v>0</v>
      </c>
      <c r="O202">
        <v>2</v>
      </c>
      <c r="P202">
        <v>1</v>
      </c>
      <c r="Q202" s="2">
        <f>K202/L202</f>
        <v>0.33333333333333331</v>
      </c>
      <c r="R202" s="2">
        <f>K202/(L202+N202+P202)</f>
        <v>0.25</v>
      </c>
      <c r="S202" s="2">
        <f>K202/(L202+N202+O202+P202)</f>
        <v>0.16666666666666666</v>
      </c>
    </row>
    <row r="203" spans="1:19" x14ac:dyDescent="0.2">
      <c r="A203" t="s">
        <v>47</v>
      </c>
      <c r="B203" t="s">
        <v>99</v>
      </c>
      <c r="C203">
        <v>6</v>
      </c>
      <c r="D203">
        <v>85</v>
      </c>
      <c r="E203">
        <v>1962</v>
      </c>
      <c r="F203" t="s">
        <v>318</v>
      </c>
      <c r="I203">
        <v>1</v>
      </c>
      <c r="J203">
        <v>146</v>
      </c>
      <c r="K203">
        <v>4</v>
      </c>
      <c r="L203">
        <v>14</v>
      </c>
      <c r="M203">
        <v>3</v>
      </c>
      <c r="N203">
        <v>1</v>
      </c>
      <c r="O203">
        <v>11</v>
      </c>
      <c r="P203">
        <v>5</v>
      </c>
      <c r="Q203" s="2">
        <f>K203/L203</f>
        <v>0.2857142857142857</v>
      </c>
      <c r="R203" s="2">
        <f>K203/(L203+N203+P203)</f>
        <v>0.2</v>
      </c>
      <c r="S203" s="2">
        <f>K203/(L203+N203+O203+P203)</f>
        <v>0.12903225806451613</v>
      </c>
    </row>
    <row r="204" spans="1:19" x14ac:dyDescent="0.2">
      <c r="A204" t="s">
        <v>311</v>
      </c>
      <c r="B204" t="s">
        <v>118</v>
      </c>
      <c r="C204">
        <v>5</v>
      </c>
      <c r="D204">
        <v>83</v>
      </c>
      <c r="E204" t="s">
        <v>114</v>
      </c>
    </row>
    <row r="205" spans="1:19" x14ac:dyDescent="0.2">
      <c r="A205" t="s">
        <v>169</v>
      </c>
      <c r="B205" t="s">
        <v>158</v>
      </c>
      <c r="C205">
        <v>12</v>
      </c>
      <c r="D205">
        <v>33</v>
      </c>
      <c r="E205" t="s">
        <v>114</v>
      </c>
    </row>
    <row r="206" spans="1:19" x14ac:dyDescent="0.2">
      <c r="A206" t="s">
        <v>267</v>
      </c>
      <c r="B206" t="s">
        <v>225</v>
      </c>
      <c r="C206">
        <v>42</v>
      </c>
      <c r="D206">
        <v>101</v>
      </c>
      <c r="E206">
        <v>1954</v>
      </c>
      <c r="F206" t="s">
        <v>272</v>
      </c>
      <c r="I206">
        <v>0</v>
      </c>
    </row>
    <row r="207" spans="1:19" x14ac:dyDescent="0.2">
      <c r="A207" t="s">
        <v>268</v>
      </c>
      <c r="B207" t="s">
        <v>225</v>
      </c>
      <c r="C207">
        <v>42</v>
      </c>
      <c r="D207">
        <v>27</v>
      </c>
      <c r="E207">
        <v>1966</v>
      </c>
      <c r="F207" t="s">
        <v>352</v>
      </c>
      <c r="I207">
        <v>0</v>
      </c>
    </row>
    <row r="208" spans="1:19" x14ac:dyDescent="0.2">
      <c r="A208" t="s">
        <v>117</v>
      </c>
      <c r="B208" t="s">
        <v>111</v>
      </c>
      <c r="C208">
        <v>4</v>
      </c>
      <c r="D208">
        <v>13</v>
      </c>
      <c r="E208" t="s">
        <v>114</v>
      </c>
    </row>
    <row r="209" spans="1:19" x14ac:dyDescent="0.2">
      <c r="A209" t="s">
        <v>269</v>
      </c>
      <c r="B209" t="s">
        <v>225</v>
      </c>
      <c r="C209">
        <v>42</v>
      </c>
      <c r="D209">
        <v>29</v>
      </c>
      <c r="E209" t="s">
        <v>270</v>
      </c>
    </row>
    <row r="210" spans="1:19" x14ac:dyDescent="0.2">
      <c r="A210" t="s">
        <v>312</v>
      </c>
      <c r="B210" t="s">
        <v>118</v>
      </c>
      <c r="C210">
        <v>5</v>
      </c>
      <c r="D210">
        <v>69</v>
      </c>
      <c r="E210" t="s">
        <v>115</v>
      </c>
    </row>
    <row r="211" spans="1:19" x14ac:dyDescent="0.2">
      <c r="A211" t="s">
        <v>271</v>
      </c>
      <c r="B211" t="s">
        <v>225</v>
      </c>
      <c r="C211">
        <v>42</v>
      </c>
      <c r="D211">
        <v>3</v>
      </c>
      <c r="E211">
        <v>1953</v>
      </c>
      <c r="F211" t="s">
        <v>320</v>
      </c>
      <c r="I211">
        <v>0</v>
      </c>
    </row>
    <row r="212" spans="1:19" x14ac:dyDescent="0.2">
      <c r="A212" t="s">
        <v>273</v>
      </c>
      <c r="B212" t="s">
        <v>225</v>
      </c>
      <c r="C212">
        <v>42</v>
      </c>
      <c r="D212">
        <v>3</v>
      </c>
      <c r="E212">
        <v>1967</v>
      </c>
      <c r="F212" t="s">
        <v>353</v>
      </c>
      <c r="I212">
        <v>1</v>
      </c>
    </row>
    <row r="213" spans="1:19" x14ac:dyDescent="0.2">
      <c r="A213" t="s">
        <v>274</v>
      </c>
      <c r="B213" t="s">
        <v>225</v>
      </c>
      <c r="C213">
        <v>42</v>
      </c>
      <c r="D213">
        <v>79</v>
      </c>
      <c r="E213" t="s">
        <v>275</v>
      </c>
      <c r="F213" t="s">
        <v>351</v>
      </c>
      <c r="I213">
        <v>1</v>
      </c>
    </row>
    <row r="214" spans="1:19" x14ac:dyDescent="0.2">
      <c r="A214" t="s">
        <v>48</v>
      </c>
      <c r="B214" t="s">
        <v>99</v>
      </c>
      <c r="C214">
        <v>6</v>
      </c>
      <c r="D214">
        <v>37</v>
      </c>
      <c r="E214">
        <v>1962</v>
      </c>
      <c r="F214" t="s">
        <v>318</v>
      </c>
      <c r="I214">
        <v>1</v>
      </c>
      <c r="J214">
        <v>342</v>
      </c>
      <c r="K214">
        <v>6</v>
      </c>
      <c r="L214">
        <v>18</v>
      </c>
      <c r="M214">
        <v>6</v>
      </c>
      <c r="N214">
        <v>5</v>
      </c>
      <c r="O214">
        <v>12</v>
      </c>
      <c r="P214">
        <v>8</v>
      </c>
      <c r="Q214" s="2">
        <f>K214/L214</f>
        <v>0.33333333333333331</v>
      </c>
      <c r="R214" s="2">
        <f>K214/(L214+N214+P214)</f>
        <v>0.19354838709677419</v>
      </c>
      <c r="S214" s="2">
        <f>K214/(L214+N214+O214+P214)</f>
        <v>0.13953488372093023</v>
      </c>
    </row>
    <row r="215" spans="1:19" x14ac:dyDescent="0.2">
      <c r="A215" t="s">
        <v>146</v>
      </c>
      <c r="B215" t="s">
        <v>125</v>
      </c>
      <c r="C215">
        <v>9</v>
      </c>
      <c r="D215">
        <v>15</v>
      </c>
      <c r="E215" t="s">
        <v>147</v>
      </c>
    </row>
    <row r="216" spans="1:19" x14ac:dyDescent="0.2">
      <c r="A216" t="s">
        <v>276</v>
      </c>
      <c r="B216" t="s">
        <v>225</v>
      </c>
      <c r="C216">
        <v>42</v>
      </c>
      <c r="D216">
        <v>71</v>
      </c>
      <c r="E216">
        <v>1978</v>
      </c>
      <c r="F216" t="s">
        <v>354</v>
      </c>
      <c r="I216">
        <v>0</v>
      </c>
    </row>
    <row r="217" spans="1:19" x14ac:dyDescent="0.2">
      <c r="A217" t="s">
        <v>218</v>
      </c>
      <c r="B217" t="s">
        <v>211</v>
      </c>
      <c r="C217">
        <v>24</v>
      </c>
      <c r="D217">
        <v>35</v>
      </c>
      <c r="E217" t="s">
        <v>121</v>
      </c>
    </row>
    <row r="218" spans="1:19" x14ac:dyDescent="0.2">
      <c r="A218" t="s">
        <v>277</v>
      </c>
      <c r="B218" t="s">
        <v>225</v>
      </c>
      <c r="C218">
        <v>42</v>
      </c>
      <c r="D218">
        <v>11</v>
      </c>
      <c r="E218" t="s">
        <v>223</v>
      </c>
      <c r="F218" t="s">
        <v>318</v>
      </c>
      <c r="I218">
        <v>0</v>
      </c>
    </row>
    <row r="219" spans="1:19" x14ac:dyDescent="0.2">
      <c r="A219" t="s">
        <v>49</v>
      </c>
      <c r="B219" t="s">
        <v>99</v>
      </c>
      <c r="C219">
        <v>6</v>
      </c>
      <c r="D219">
        <v>71</v>
      </c>
      <c r="E219">
        <v>1961</v>
      </c>
      <c r="F219" t="s">
        <v>318</v>
      </c>
      <c r="I219">
        <v>1</v>
      </c>
      <c r="J219">
        <v>163</v>
      </c>
      <c r="K219">
        <v>1</v>
      </c>
      <c r="L219">
        <v>4</v>
      </c>
      <c r="M219">
        <v>2</v>
      </c>
      <c r="N219">
        <v>0</v>
      </c>
      <c r="O219">
        <v>3</v>
      </c>
      <c r="P219">
        <v>4</v>
      </c>
      <c r="Q219" s="2">
        <f>K219/L219</f>
        <v>0.25</v>
      </c>
      <c r="R219" s="2">
        <f>K219/(L219+N219+P219)</f>
        <v>0.125</v>
      </c>
      <c r="S219" s="2">
        <f>K219/(L219+N219+O219+P219)</f>
        <v>9.0909090909090912E-2</v>
      </c>
    </row>
    <row r="220" spans="1:19" x14ac:dyDescent="0.2">
      <c r="A220" t="s">
        <v>50</v>
      </c>
      <c r="B220" t="s">
        <v>99</v>
      </c>
      <c r="C220">
        <v>6</v>
      </c>
      <c r="D220">
        <v>13</v>
      </c>
      <c r="E220">
        <v>1961</v>
      </c>
      <c r="F220" t="s">
        <v>318</v>
      </c>
      <c r="I220">
        <v>1</v>
      </c>
      <c r="J220">
        <v>90</v>
      </c>
      <c r="K220">
        <v>2</v>
      </c>
      <c r="L220">
        <v>8</v>
      </c>
      <c r="M220">
        <v>1</v>
      </c>
      <c r="N220">
        <v>3</v>
      </c>
      <c r="O220">
        <v>22</v>
      </c>
      <c r="P220">
        <v>7</v>
      </c>
      <c r="Q220" s="2">
        <f>K220/L220</f>
        <v>0.25</v>
      </c>
      <c r="R220" s="2">
        <f>K220/(L220+N220+P220)</f>
        <v>0.1111111111111111</v>
      </c>
      <c r="S220" s="2">
        <f>K220/(L220+N220+O220+P220)</f>
        <v>0.05</v>
      </c>
    </row>
    <row r="221" spans="1:19" x14ac:dyDescent="0.2">
      <c r="A221" t="s">
        <v>219</v>
      </c>
      <c r="B221" t="s">
        <v>211</v>
      </c>
      <c r="C221">
        <v>24</v>
      </c>
      <c r="D221">
        <v>15</v>
      </c>
      <c r="E221" t="s">
        <v>139</v>
      </c>
    </row>
    <row r="222" spans="1:19" x14ac:dyDescent="0.2">
      <c r="A222" t="s">
        <v>51</v>
      </c>
      <c r="B222" t="s">
        <v>99</v>
      </c>
      <c r="C222">
        <v>6</v>
      </c>
      <c r="D222">
        <v>65</v>
      </c>
      <c r="E222">
        <v>1960</v>
      </c>
      <c r="F222" t="s">
        <v>318</v>
      </c>
      <c r="I222">
        <v>1</v>
      </c>
      <c r="J222">
        <v>71</v>
      </c>
      <c r="K222">
        <v>18</v>
      </c>
      <c r="L222">
        <v>25</v>
      </c>
      <c r="M222">
        <v>6</v>
      </c>
      <c r="N222">
        <v>1</v>
      </c>
      <c r="O222">
        <v>18</v>
      </c>
      <c r="P222">
        <v>4</v>
      </c>
      <c r="Q222" s="2">
        <f>K222/L222</f>
        <v>0.72</v>
      </c>
      <c r="R222" s="2">
        <f>K222/(L222+N222+P222)</f>
        <v>0.6</v>
      </c>
      <c r="S222" s="2">
        <f>K222/(L222+N222+O222+P222)</f>
        <v>0.375</v>
      </c>
    </row>
    <row r="223" spans="1:19" x14ac:dyDescent="0.2">
      <c r="A223" t="s">
        <v>52</v>
      </c>
      <c r="B223" t="s">
        <v>99</v>
      </c>
      <c r="C223">
        <v>6</v>
      </c>
      <c r="D223">
        <v>61</v>
      </c>
      <c r="E223">
        <v>1961</v>
      </c>
      <c r="F223" t="s">
        <v>318</v>
      </c>
      <c r="I223">
        <v>1</v>
      </c>
      <c r="J223">
        <v>437</v>
      </c>
      <c r="K223">
        <v>2</v>
      </c>
      <c r="L223">
        <v>3</v>
      </c>
      <c r="M223">
        <v>1</v>
      </c>
      <c r="N223">
        <v>0</v>
      </c>
      <c r="O223">
        <v>2</v>
      </c>
      <c r="P223">
        <v>1</v>
      </c>
      <c r="Q223" s="2">
        <f>K223/L223</f>
        <v>0.66666666666666663</v>
      </c>
      <c r="R223" s="2">
        <f>K223/(L223+N223+P223)</f>
        <v>0.5</v>
      </c>
      <c r="S223" s="2">
        <f>K223/(L223+N223+O223+P223)</f>
        <v>0.33333333333333331</v>
      </c>
    </row>
    <row r="224" spans="1:19" x14ac:dyDescent="0.2">
      <c r="A224" t="s">
        <v>313</v>
      </c>
      <c r="B224" t="s">
        <v>100</v>
      </c>
      <c r="C224">
        <v>1</v>
      </c>
      <c r="D224">
        <v>59</v>
      </c>
      <c r="E224" t="s">
        <v>114</v>
      </c>
    </row>
    <row r="225" spans="1:20" x14ac:dyDescent="0.2">
      <c r="A225" t="s">
        <v>313</v>
      </c>
      <c r="B225" t="s">
        <v>118</v>
      </c>
      <c r="C225">
        <v>5</v>
      </c>
      <c r="D225">
        <v>115</v>
      </c>
      <c r="E225" t="s">
        <v>115</v>
      </c>
    </row>
    <row r="226" spans="1:20" x14ac:dyDescent="0.2">
      <c r="A226" t="s">
        <v>53</v>
      </c>
      <c r="B226" t="s">
        <v>99</v>
      </c>
      <c r="C226">
        <v>6</v>
      </c>
      <c r="D226">
        <v>67</v>
      </c>
      <c r="E226">
        <v>1959</v>
      </c>
      <c r="F226" t="s">
        <v>318</v>
      </c>
      <c r="I226">
        <v>1</v>
      </c>
      <c r="J226">
        <v>223</v>
      </c>
      <c r="K226">
        <v>2</v>
      </c>
      <c r="L226">
        <v>20</v>
      </c>
      <c r="M226">
        <v>4</v>
      </c>
      <c r="N226">
        <v>12</v>
      </c>
      <c r="O226">
        <v>44</v>
      </c>
      <c r="P226">
        <v>7</v>
      </c>
      <c r="Q226" s="2">
        <f>K226/L226</f>
        <v>0.1</v>
      </c>
      <c r="R226" s="2">
        <f>K226/(L226+N226+P226)</f>
        <v>5.128205128205128E-2</v>
      </c>
      <c r="S226" s="2">
        <f>K226/(L226+N226+O226+P226)</f>
        <v>2.4096385542168676E-2</v>
      </c>
    </row>
    <row r="227" spans="1:20" x14ac:dyDescent="0.2">
      <c r="A227" t="s">
        <v>54</v>
      </c>
      <c r="B227" t="s">
        <v>99</v>
      </c>
      <c r="C227">
        <v>6</v>
      </c>
      <c r="D227">
        <v>71</v>
      </c>
      <c r="E227">
        <v>1961</v>
      </c>
      <c r="F227" t="s">
        <v>318</v>
      </c>
      <c r="I227">
        <v>1</v>
      </c>
      <c r="J227">
        <v>130</v>
      </c>
      <c r="K227">
        <v>4</v>
      </c>
      <c r="L227">
        <v>13</v>
      </c>
      <c r="M227">
        <v>6</v>
      </c>
      <c r="N227">
        <v>1</v>
      </c>
      <c r="O227">
        <v>23</v>
      </c>
      <c r="P227">
        <v>5</v>
      </c>
      <c r="Q227" s="2">
        <f>K227/L227</f>
        <v>0.30769230769230771</v>
      </c>
      <c r="R227" s="2">
        <f>K227/(L227+N227+P227)</f>
        <v>0.21052631578947367</v>
      </c>
      <c r="S227" s="2">
        <f>K227/(L227+N227+O227+P227)</f>
        <v>9.5238095238095233E-2</v>
      </c>
      <c r="T227" t="s">
        <v>89</v>
      </c>
    </row>
    <row r="228" spans="1:20" x14ac:dyDescent="0.2">
      <c r="A228" t="s">
        <v>55</v>
      </c>
      <c r="B228" t="s">
        <v>99</v>
      </c>
      <c r="C228">
        <v>6</v>
      </c>
      <c r="D228">
        <v>73</v>
      </c>
      <c r="E228">
        <v>1960</v>
      </c>
      <c r="F228" t="s">
        <v>318</v>
      </c>
      <c r="I228">
        <v>1</v>
      </c>
      <c r="J228">
        <v>11</v>
      </c>
      <c r="K228">
        <v>24</v>
      </c>
      <c r="L228">
        <v>72</v>
      </c>
      <c r="M228">
        <v>11</v>
      </c>
      <c r="N228">
        <v>10</v>
      </c>
      <c r="O228">
        <v>52</v>
      </c>
      <c r="P228">
        <v>30</v>
      </c>
      <c r="Q228" s="2">
        <f>K228/L228</f>
        <v>0.33333333333333331</v>
      </c>
      <c r="R228" s="2">
        <f>K228/(L228+N228+P228)</f>
        <v>0.21428571428571427</v>
      </c>
      <c r="S228" s="2">
        <f>K228/(L228+N228+O228+P228)</f>
        <v>0.14634146341463414</v>
      </c>
    </row>
    <row r="229" spans="1:20" x14ac:dyDescent="0.2">
      <c r="A229" t="s">
        <v>70</v>
      </c>
      <c r="B229" t="s">
        <v>99</v>
      </c>
      <c r="C229">
        <v>6</v>
      </c>
      <c r="D229">
        <v>75</v>
      </c>
      <c r="E229">
        <v>1960</v>
      </c>
      <c r="F229" t="s">
        <v>318</v>
      </c>
      <c r="I229">
        <v>1</v>
      </c>
      <c r="Q229" s="2"/>
      <c r="R229" s="2"/>
      <c r="S229" s="2"/>
    </row>
    <row r="230" spans="1:20" x14ac:dyDescent="0.2">
      <c r="A230" t="s">
        <v>70</v>
      </c>
      <c r="B230" t="s">
        <v>99</v>
      </c>
      <c r="C230">
        <v>6</v>
      </c>
      <c r="D230">
        <v>75</v>
      </c>
      <c r="E230">
        <v>1961</v>
      </c>
      <c r="F230" t="s">
        <v>318</v>
      </c>
      <c r="I230">
        <v>1</v>
      </c>
      <c r="J230">
        <v>13</v>
      </c>
      <c r="K230">
        <v>60</v>
      </c>
      <c r="L230">
        <v>132</v>
      </c>
      <c r="M230">
        <v>22</v>
      </c>
      <c r="N230">
        <v>18</v>
      </c>
      <c r="O230">
        <v>120</v>
      </c>
      <c r="P230">
        <v>30</v>
      </c>
      <c r="Q230" s="2">
        <f t="shared" ref="Q230:Q238" si="6">K230/L230</f>
        <v>0.45454545454545453</v>
      </c>
      <c r="R230" s="2">
        <f t="shared" ref="R230:R238" si="7">K230/(L230+N230+P230)</f>
        <v>0.33333333333333331</v>
      </c>
      <c r="S230" s="2">
        <f t="shared" ref="S230:S238" si="8">K230/(L230+N230+O230+P230)</f>
        <v>0.2</v>
      </c>
    </row>
    <row r="231" spans="1:20" x14ac:dyDescent="0.2">
      <c r="A231" t="s">
        <v>56</v>
      </c>
      <c r="B231" t="s">
        <v>99</v>
      </c>
      <c r="C231">
        <v>6</v>
      </c>
      <c r="D231">
        <v>85</v>
      </c>
      <c r="E231">
        <v>1961</v>
      </c>
      <c r="F231" t="s">
        <v>318</v>
      </c>
      <c r="I231">
        <v>1</v>
      </c>
      <c r="J231">
        <v>206</v>
      </c>
      <c r="K231">
        <v>9</v>
      </c>
      <c r="L231">
        <v>27</v>
      </c>
      <c r="M231">
        <v>8</v>
      </c>
      <c r="N231">
        <v>3</v>
      </c>
      <c r="O231">
        <v>36</v>
      </c>
      <c r="P231">
        <v>8</v>
      </c>
      <c r="Q231" s="2">
        <f t="shared" si="6"/>
        <v>0.33333333333333331</v>
      </c>
      <c r="R231" s="2">
        <f t="shared" si="7"/>
        <v>0.23684210526315788</v>
      </c>
      <c r="S231" s="2">
        <f t="shared" si="8"/>
        <v>0.12162162162162163</v>
      </c>
    </row>
    <row r="232" spans="1:20" x14ac:dyDescent="0.2">
      <c r="A232" t="s">
        <v>57</v>
      </c>
      <c r="B232" t="s">
        <v>99</v>
      </c>
      <c r="C232">
        <v>6</v>
      </c>
      <c r="D232">
        <v>79</v>
      </c>
      <c r="E232">
        <v>1961</v>
      </c>
      <c r="F232" t="s">
        <v>318</v>
      </c>
      <c r="I232">
        <v>1</v>
      </c>
      <c r="J232">
        <v>142</v>
      </c>
      <c r="K232">
        <v>7</v>
      </c>
      <c r="L232">
        <v>11</v>
      </c>
      <c r="M232">
        <v>2</v>
      </c>
      <c r="N232">
        <v>3</v>
      </c>
      <c r="O232">
        <v>7</v>
      </c>
      <c r="P232">
        <v>5</v>
      </c>
      <c r="Q232" s="2">
        <f t="shared" si="6"/>
        <v>0.63636363636363635</v>
      </c>
      <c r="R232" s="2">
        <f t="shared" si="7"/>
        <v>0.36842105263157893</v>
      </c>
      <c r="S232" s="2">
        <f t="shared" si="8"/>
        <v>0.26923076923076922</v>
      </c>
    </row>
    <row r="233" spans="1:20" x14ac:dyDescent="0.2">
      <c r="A233" t="s">
        <v>58</v>
      </c>
      <c r="B233" t="s">
        <v>99</v>
      </c>
      <c r="C233">
        <v>6</v>
      </c>
      <c r="D233">
        <v>81</v>
      </c>
      <c r="E233">
        <v>1962</v>
      </c>
      <c r="F233" t="s">
        <v>318</v>
      </c>
      <c r="I233">
        <v>1</v>
      </c>
      <c r="J233">
        <v>167</v>
      </c>
      <c r="K233">
        <v>21</v>
      </c>
      <c r="L233">
        <v>45</v>
      </c>
      <c r="M233">
        <v>12</v>
      </c>
      <c r="N233">
        <v>2</v>
      </c>
      <c r="O233">
        <v>25</v>
      </c>
      <c r="P233">
        <v>18</v>
      </c>
      <c r="Q233" s="2">
        <f t="shared" si="6"/>
        <v>0.46666666666666667</v>
      </c>
      <c r="R233" s="2">
        <f t="shared" si="7"/>
        <v>0.32307692307692309</v>
      </c>
      <c r="S233" s="2">
        <f t="shared" si="8"/>
        <v>0.23333333333333334</v>
      </c>
    </row>
    <row r="234" spans="1:20" x14ac:dyDescent="0.2">
      <c r="A234" t="s">
        <v>59</v>
      </c>
      <c r="B234" t="s">
        <v>99</v>
      </c>
      <c r="C234">
        <v>6</v>
      </c>
      <c r="D234">
        <v>83</v>
      </c>
      <c r="E234">
        <v>1962</v>
      </c>
      <c r="F234" t="s">
        <v>318</v>
      </c>
      <c r="I234">
        <v>1</v>
      </c>
      <c r="J234">
        <v>271</v>
      </c>
      <c r="K234">
        <v>4</v>
      </c>
      <c r="L234">
        <v>8</v>
      </c>
      <c r="M234">
        <v>3</v>
      </c>
      <c r="N234">
        <v>0</v>
      </c>
      <c r="O234">
        <v>7</v>
      </c>
      <c r="P234">
        <v>4</v>
      </c>
      <c r="Q234" s="2">
        <f t="shared" si="6"/>
        <v>0.5</v>
      </c>
      <c r="R234" s="2">
        <f t="shared" si="7"/>
        <v>0.33333333333333331</v>
      </c>
      <c r="S234" s="2">
        <f t="shared" si="8"/>
        <v>0.21052631578947367</v>
      </c>
    </row>
    <row r="235" spans="1:20" x14ac:dyDescent="0.2">
      <c r="A235" t="s">
        <v>60</v>
      </c>
      <c r="B235" t="s">
        <v>99</v>
      </c>
      <c r="C235">
        <v>6</v>
      </c>
      <c r="D235">
        <v>87</v>
      </c>
      <c r="E235">
        <v>1961</v>
      </c>
      <c r="F235" t="s">
        <v>318</v>
      </c>
      <c r="I235">
        <v>1</v>
      </c>
      <c r="J235">
        <v>475</v>
      </c>
      <c r="K235">
        <v>3</v>
      </c>
      <c r="L235">
        <v>12</v>
      </c>
      <c r="M235">
        <v>4</v>
      </c>
      <c r="N235">
        <v>0</v>
      </c>
      <c r="O235">
        <v>8</v>
      </c>
      <c r="P235">
        <v>3</v>
      </c>
      <c r="Q235" s="2">
        <f t="shared" si="6"/>
        <v>0.25</v>
      </c>
      <c r="R235" s="2">
        <f t="shared" si="7"/>
        <v>0.2</v>
      </c>
      <c r="S235" s="2">
        <f t="shared" si="8"/>
        <v>0.13043478260869565</v>
      </c>
    </row>
    <row r="236" spans="1:20" x14ac:dyDescent="0.2">
      <c r="A236" t="s">
        <v>61</v>
      </c>
      <c r="B236" t="s">
        <v>99</v>
      </c>
      <c r="C236">
        <v>6</v>
      </c>
      <c r="D236">
        <v>83</v>
      </c>
      <c r="E236">
        <v>1961</v>
      </c>
      <c r="F236" t="s">
        <v>318</v>
      </c>
      <c r="I236">
        <v>1</v>
      </c>
      <c r="J236">
        <v>55</v>
      </c>
      <c r="K236">
        <v>1</v>
      </c>
      <c r="L236">
        <v>3</v>
      </c>
      <c r="M236">
        <v>1</v>
      </c>
      <c r="N236">
        <v>0</v>
      </c>
      <c r="O236">
        <v>4</v>
      </c>
      <c r="P236">
        <v>4</v>
      </c>
      <c r="Q236" s="2">
        <f t="shared" si="6"/>
        <v>0.33333333333333331</v>
      </c>
      <c r="R236" s="2">
        <f t="shared" si="7"/>
        <v>0.14285714285714285</v>
      </c>
      <c r="S236" s="2">
        <f t="shared" si="8"/>
        <v>9.0909090909090912E-2</v>
      </c>
    </row>
    <row r="237" spans="1:20" x14ac:dyDescent="0.2">
      <c r="A237" t="s">
        <v>62</v>
      </c>
      <c r="B237" t="s">
        <v>99</v>
      </c>
      <c r="C237">
        <v>6</v>
      </c>
      <c r="D237">
        <v>111</v>
      </c>
      <c r="E237" t="s">
        <v>122</v>
      </c>
      <c r="J237">
        <v>25</v>
      </c>
      <c r="K237">
        <v>1</v>
      </c>
      <c r="L237">
        <v>3</v>
      </c>
      <c r="M237">
        <v>1</v>
      </c>
      <c r="N237">
        <v>0</v>
      </c>
      <c r="O237">
        <v>6</v>
      </c>
      <c r="P237">
        <v>1</v>
      </c>
      <c r="Q237" s="2">
        <f t="shared" si="6"/>
        <v>0.33333333333333331</v>
      </c>
      <c r="R237" s="2">
        <f t="shared" si="7"/>
        <v>0.25</v>
      </c>
      <c r="S237" s="2">
        <f t="shared" si="8"/>
        <v>0.1</v>
      </c>
    </row>
    <row r="238" spans="1:20" x14ac:dyDescent="0.2">
      <c r="A238" t="s">
        <v>63</v>
      </c>
      <c r="B238" t="s">
        <v>99</v>
      </c>
      <c r="C238">
        <v>6</v>
      </c>
      <c r="D238">
        <v>83</v>
      </c>
      <c r="E238" t="s">
        <v>114</v>
      </c>
      <c r="J238">
        <v>238</v>
      </c>
      <c r="K238">
        <v>1</v>
      </c>
      <c r="L238">
        <v>3</v>
      </c>
      <c r="M238">
        <v>0</v>
      </c>
      <c r="N238">
        <v>0</v>
      </c>
      <c r="O238">
        <v>0</v>
      </c>
      <c r="P238">
        <v>0</v>
      </c>
      <c r="Q238" s="2">
        <f t="shared" si="6"/>
        <v>0.33333333333333331</v>
      </c>
      <c r="R238" s="2">
        <f t="shared" si="7"/>
        <v>0.33333333333333331</v>
      </c>
      <c r="S238" s="2">
        <f t="shared" si="8"/>
        <v>0.33333333333333331</v>
      </c>
    </row>
    <row r="239" spans="1:20" x14ac:dyDescent="0.2">
      <c r="A239" t="s">
        <v>170</v>
      </c>
      <c r="B239" t="s">
        <v>158</v>
      </c>
      <c r="C239">
        <v>12</v>
      </c>
      <c r="D239">
        <v>115</v>
      </c>
      <c r="E239" t="s">
        <v>115</v>
      </c>
    </row>
    <row r="240" spans="1:20" x14ac:dyDescent="0.2">
      <c r="A240" t="s">
        <v>178</v>
      </c>
      <c r="B240" t="s">
        <v>175</v>
      </c>
      <c r="C240">
        <v>13</v>
      </c>
      <c r="D240">
        <v>51</v>
      </c>
      <c r="E240" t="s">
        <v>122</v>
      </c>
    </row>
    <row r="241" spans="1:19" x14ac:dyDescent="0.2">
      <c r="A241" t="s">
        <v>148</v>
      </c>
      <c r="B241" t="s">
        <v>125</v>
      </c>
      <c r="C241">
        <v>9</v>
      </c>
      <c r="D241">
        <v>7</v>
      </c>
      <c r="E241" t="s">
        <v>149</v>
      </c>
    </row>
    <row r="242" spans="1:19" x14ac:dyDescent="0.2">
      <c r="A242" t="s">
        <v>278</v>
      </c>
      <c r="B242" t="s">
        <v>225</v>
      </c>
      <c r="C242">
        <v>42</v>
      </c>
      <c r="D242">
        <v>69</v>
      </c>
      <c r="E242">
        <v>1971</v>
      </c>
      <c r="F242" t="s">
        <v>351</v>
      </c>
      <c r="I242">
        <v>1</v>
      </c>
    </row>
    <row r="243" spans="1:19" x14ac:dyDescent="0.2">
      <c r="A243" t="s">
        <v>64</v>
      </c>
      <c r="B243" t="s">
        <v>99</v>
      </c>
      <c r="C243">
        <v>6</v>
      </c>
      <c r="D243">
        <v>89</v>
      </c>
      <c r="E243">
        <v>1961</v>
      </c>
      <c r="F243" t="s">
        <v>318</v>
      </c>
      <c r="I243">
        <v>1</v>
      </c>
      <c r="J243">
        <v>33</v>
      </c>
      <c r="K243">
        <v>4</v>
      </c>
      <c r="L243">
        <v>9</v>
      </c>
      <c r="M243">
        <v>4</v>
      </c>
      <c r="N243">
        <v>0</v>
      </c>
      <c r="O243">
        <v>5</v>
      </c>
      <c r="P243">
        <v>1</v>
      </c>
      <c r="Q243" s="2">
        <f>K243/L243</f>
        <v>0.44444444444444442</v>
      </c>
      <c r="R243" s="2">
        <f>K243/(L243+N243+P243)</f>
        <v>0.4</v>
      </c>
      <c r="S243" s="2">
        <f>K243/(L243+N243+O243+P243)</f>
        <v>0.26666666666666666</v>
      </c>
    </row>
    <row r="244" spans="1:19" x14ac:dyDescent="0.2">
      <c r="A244" t="s">
        <v>205</v>
      </c>
      <c r="B244" t="s">
        <v>183</v>
      </c>
      <c r="C244">
        <v>19</v>
      </c>
      <c r="D244">
        <v>145</v>
      </c>
      <c r="E244" t="s">
        <v>122</v>
      </c>
    </row>
    <row r="245" spans="1:19" x14ac:dyDescent="0.2">
      <c r="A245" t="s">
        <v>205</v>
      </c>
      <c r="B245" t="s">
        <v>183</v>
      </c>
      <c r="C245">
        <v>19</v>
      </c>
      <c r="D245">
        <v>71</v>
      </c>
      <c r="E245" t="s">
        <v>122</v>
      </c>
    </row>
    <row r="246" spans="1:19" x14ac:dyDescent="0.2">
      <c r="A246" t="s">
        <v>279</v>
      </c>
      <c r="B246" t="s">
        <v>225</v>
      </c>
      <c r="C246">
        <v>42</v>
      </c>
      <c r="D246">
        <v>79</v>
      </c>
      <c r="E246" t="s">
        <v>280</v>
      </c>
    </row>
    <row r="247" spans="1:19" x14ac:dyDescent="0.2">
      <c r="A247" t="s">
        <v>206</v>
      </c>
      <c r="B247" t="s">
        <v>183</v>
      </c>
      <c r="C247">
        <v>19</v>
      </c>
      <c r="D247">
        <v>149</v>
      </c>
      <c r="E247" t="s">
        <v>121</v>
      </c>
    </row>
    <row r="248" spans="1:19" x14ac:dyDescent="0.2">
      <c r="A248" t="s">
        <v>206</v>
      </c>
      <c r="B248" t="s">
        <v>183</v>
      </c>
      <c r="C248">
        <v>19</v>
      </c>
      <c r="D248">
        <v>193</v>
      </c>
      <c r="E248" t="s">
        <v>121</v>
      </c>
    </row>
    <row r="249" spans="1:19" x14ac:dyDescent="0.2">
      <c r="A249" t="s">
        <v>65</v>
      </c>
      <c r="B249" t="s">
        <v>99</v>
      </c>
      <c r="C249">
        <v>6</v>
      </c>
      <c r="D249">
        <v>97</v>
      </c>
      <c r="E249">
        <v>1961</v>
      </c>
      <c r="F249" t="s">
        <v>318</v>
      </c>
      <c r="I249">
        <v>1</v>
      </c>
      <c r="J249">
        <v>422</v>
      </c>
      <c r="K249">
        <v>10</v>
      </c>
      <c r="L249">
        <v>24</v>
      </c>
      <c r="M249">
        <v>7</v>
      </c>
      <c r="N249">
        <v>0</v>
      </c>
      <c r="O249">
        <v>10</v>
      </c>
      <c r="P249">
        <v>3</v>
      </c>
      <c r="Q249" s="2">
        <f>K249/L249</f>
        <v>0.41666666666666669</v>
      </c>
      <c r="R249" s="2">
        <f>K249/(L249+N249+P249)</f>
        <v>0.37037037037037035</v>
      </c>
      <c r="S249" s="2">
        <f>K249/(L249+N249+O249+P249)</f>
        <v>0.27027027027027029</v>
      </c>
    </row>
    <row r="250" spans="1:19" x14ac:dyDescent="0.2">
      <c r="A250" t="s">
        <v>66</v>
      </c>
      <c r="B250" t="s">
        <v>99</v>
      </c>
      <c r="C250">
        <v>6</v>
      </c>
      <c r="D250">
        <v>1</v>
      </c>
      <c r="E250">
        <v>1961</v>
      </c>
      <c r="F250" t="s">
        <v>318</v>
      </c>
      <c r="I250">
        <v>1</v>
      </c>
      <c r="J250">
        <v>127</v>
      </c>
      <c r="K250">
        <v>7</v>
      </c>
      <c r="L250">
        <v>24</v>
      </c>
      <c r="M250">
        <v>11</v>
      </c>
      <c r="N250">
        <v>3</v>
      </c>
      <c r="O250">
        <v>29</v>
      </c>
      <c r="P250">
        <v>9</v>
      </c>
      <c r="Q250" s="2">
        <f>K250/L250</f>
        <v>0.29166666666666669</v>
      </c>
      <c r="R250" s="2">
        <f>K250/(L250+N250+P250)</f>
        <v>0.19444444444444445</v>
      </c>
      <c r="S250" s="2">
        <f>K250/(L250+N250+O250+P250)</f>
        <v>0.1076923076923077</v>
      </c>
    </row>
    <row r="251" spans="1:19" x14ac:dyDescent="0.2">
      <c r="A251" t="s">
        <v>281</v>
      </c>
      <c r="B251" t="s">
        <v>225</v>
      </c>
      <c r="C251">
        <v>42</v>
      </c>
      <c r="D251">
        <v>29</v>
      </c>
      <c r="E251">
        <v>1982</v>
      </c>
      <c r="F251" t="s">
        <v>354</v>
      </c>
      <c r="I251">
        <v>0</v>
      </c>
    </row>
    <row r="252" spans="1:19" x14ac:dyDescent="0.2">
      <c r="A252" t="s">
        <v>171</v>
      </c>
      <c r="B252" t="s">
        <v>158</v>
      </c>
      <c r="C252">
        <v>12</v>
      </c>
      <c r="D252">
        <v>103</v>
      </c>
      <c r="E252" t="s">
        <v>115</v>
      </c>
    </row>
    <row r="253" spans="1:19" x14ac:dyDescent="0.2">
      <c r="A253" t="s">
        <v>150</v>
      </c>
      <c r="B253" t="s">
        <v>125</v>
      </c>
      <c r="C253">
        <v>9</v>
      </c>
      <c r="D253">
        <v>7</v>
      </c>
      <c r="E253" t="s">
        <v>129</v>
      </c>
    </row>
    <row r="254" spans="1:19" x14ac:dyDescent="0.2">
      <c r="A254" t="s">
        <v>67</v>
      </c>
      <c r="B254" t="s">
        <v>99</v>
      </c>
      <c r="C254">
        <v>6</v>
      </c>
      <c r="D254">
        <v>99</v>
      </c>
      <c r="E254">
        <v>1962</v>
      </c>
      <c r="F254" t="s">
        <v>318</v>
      </c>
      <c r="I254">
        <v>1</v>
      </c>
      <c r="J254">
        <v>445</v>
      </c>
      <c r="K254">
        <v>5</v>
      </c>
      <c r="L254">
        <v>21</v>
      </c>
      <c r="M254">
        <v>6</v>
      </c>
      <c r="N254">
        <v>3</v>
      </c>
      <c r="O254">
        <v>16</v>
      </c>
      <c r="P254">
        <v>4</v>
      </c>
      <c r="Q254" s="2">
        <f>K254/L254</f>
        <v>0.23809523809523808</v>
      </c>
      <c r="R254" s="2">
        <f>K254/(L254+N254+P254)</f>
        <v>0.17857142857142858</v>
      </c>
      <c r="S254" s="2">
        <f>K254/(L254+N254+O254+P254)</f>
        <v>0.11363636363636363</v>
      </c>
    </row>
    <row r="255" spans="1:19" x14ac:dyDescent="0.2">
      <c r="A255" t="s">
        <v>207</v>
      </c>
      <c r="B255" t="s">
        <v>183</v>
      </c>
      <c r="C255">
        <v>19</v>
      </c>
      <c r="D255">
        <v>21</v>
      </c>
      <c r="E255" t="s">
        <v>115</v>
      </c>
    </row>
    <row r="256" spans="1:19" x14ac:dyDescent="0.2">
      <c r="A256" t="s">
        <v>172</v>
      </c>
      <c r="B256" t="s">
        <v>158</v>
      </c>
      <c r="C256">
        <v>12</v>
      </c>
      <c r="D256">
        <v>57</v>
      </c>
      <c r="E256" t="s">
        <v>115</v>
      </c>
    </row>
    <row r="257" spans="1:20" x14ac:dyDescent="0.2">
      <c r="A257" t="s">
        <v>151</v>
      </c>
      <c r="B257" t="s">
        <v>125</v>
      </c>
      <c r="C257">
        <v>9</v>
      </c>
      <c r="D257">
        <v>5</v>
      </c>
      <c r="E257" t="s">
        <v>152</v>
      </c>
    </row>
    <row r="258" spans="1:20" x14ac:dyDescent="0.2">
      <c r="A258" t="s">
        <v>282</v>
      </c>
      <c r="B258" t="s">
        <v>225</v>
      </c>
      <c r="C258">
        <v>42</v>
      </c>
      <c r="D258">
        <v>15</v>
      </c>
      <c r="E258" t="s">
        <v>220</v>
      </c>
    </row>
    <row r="259" spans="1:20" x14ac:dyDescent="0.2">
      <c r="A259" t="s">
        <v>283</v>
      </c>
      <c r="B259" t="s">
        <v>225</v>
      </c>
      <c r="C259">
        <v>42</v>
      </c>
      <c r="D259">
        <v>107</v>
      </c>
      <c r="E259" t="s">
        <v>284</v>
      </c>
    </row>
    <row r="260" spans="1:20" x14ac:dyDescent="0.2">
      <c r="A260" t="s">
        <v>116</v>
      </c>
      <c r="B260" t="s">
        <v>111</v>
      </c>
      <c r="C260">
        <v>4</v>
      </c>
      <c r="D260">
        <v>19</v>
      </c>
      <c r="E260" t="s">
        <v>115</v>
      </c>
      <c r="T260" t="s">
        <v>113</v>
      </c>
    </row>
    <row r="261" spans="1:20" x14ac:dyDescent="0.2">
      <c r="A261" t="s">
        <v>327</v>
      </c>
      <c r="B261" t="s">
        <v>100</v>
      </c>
      <c r="C261">
        <v>1</v>
      </c>
      <c r="D261">
        <v>125</v>
      </c>
      <c r="E261" t="s">
        <v>122</v>
      </c>
    </row>
    <row r="262" spans="1:20" x14ac:dyDescent="0.2">
      <c r="A262" t="s">
        <v>285</v>
      </c>
      <c r="B262" t="s">
        <v>225</v>
      </c>
      <c r="C262">
        <v>42</v>
      </c>
      <c r="D262">
        <v>13</v>
      </c>
      <c r="E262" t="s">
        <v>147</v>
      </c>
    </row>
    <row r="263" spans="1:20" x14ac:dyDescent="0.2">
      <c r="A263" t="s">
        <v>306</v>
      </c>
      <c r="B263" t="s">
        <v>118</v>
      </c>
      <c r="C263">
        <v>5</v>
      </c>
      <c r="D263">
        <v>33</v>
      </c>
      <c r="E263" t="s">
        <v>114</v>
      </c>
    </row>
    <row r="264" spans="1:20" x14ac:dyDescent="0.2">
      <c r="A264" t="s">
        <v>286</v>
      </c>
      <c r="B264" t="s">
        <v>225</v>
      </c>
      <c r="C264">
        <v>42</v>
      </c>
      <c r="D264">
        <v>129</v>
      </c>
      <c r="E264" t="s">
        <v>287</v>
      </c>
    </row>
    <row r="265" spans="1:20" x14ac:dyDescent="0.2">
      <c r="A265" t="s">
        <v>182</v>
      </c>
      <c r="B265" t="s">
        <v>180</v>
      </c>
      <c r="C265">
        <v>15</v>
      </c>
      <c r="D265">
        <v>9</v>
      </c>
      <c r="E265">
        <v>1960</v>
      </c>
      <c r="F265" t="s">
        <v>342</v>
      </c>
      <c r="I265">
        <v>0</v>
      </c>
      <c r="T265" t="s">
        <v>343</v>
      </c>
    </row>
    <row r="266" spans="1:20" x14ac:dyDescent="0.2">
      <c r="A266" t="s">
        <v>289</v>
      </c>
      <c r="B266" t="s">
        <v>225</v>
      </c>
      <c r="C266">
        <v>42</v>
      </c>
      <c r="D266">
        <v>61</v>
      </c>
      <c r="E266" t="s">
        <v>139</v>
      </c>
    </row>
    <row r="267" spans="1:20" x14ac:dyDescent="0.2">
      <c r="A267" t="s">
        <v>288</v>
      </c>
      <c r="B267" t="s">
        <v>225</v>
      </c>
      <c r="C267">
        <v>42</v>
      </c>
      <c r="D267">
        <v>123</v>
      </c>
      <c r="E267" t="s">
        <v>145</v>
      </c>
    </row>
    <row r="268" spans="1:20" x14ac:dyDescent="0.2">
      <c r="A268" t="s">
        <v>221</v>
      </c>
      <c r="B268" t="s">
        <v>211</v>
      </c>
      <c r="C268">
        <v>24</v>
      </c>
      <c r="D268">
        <v>43</v>
      </c>
      <c r="E268">
        <v>1973</v>
      </c>
      <c r="F268" t="s">
        <v>318</v>
      </c>
      <c r="I268">
        <v>1</v>
      </c>
    </row>
    <row r="269" spans="1:20" x14ac:dyDescent="0.2">
      <c r="A269" t="s">
        <v>356</v>
      </c>
      <c r="B269" t="s">
        <v>298</v>
      </c>
      <c r="C269">
        <v>11</v>
      </c>
      <c r="D269">
        <v>1</v>
      </c>
      <c r="E269">
        <v>1956</v>
      </c>
      <c r="F269" t="s">
        <v>357</v>
      </c>
      <c r="I269">
        <v>1</v>
      </c>
    </row>
    <row r="270" spans="1:20" x14ac:dyDescent="0.2">
      <c r="A270" t="s">
        <v>153</v>
      </c>
      <c r="B270" t="s">
        <v>125</v>
      </c>
      <c r="C270">
        <v>9</v>
      </c>
      <c r="D270">
        <v>9</v>
      </c>
      <c r="E270" t="s">
        <v>122</v>
      </c>
    </row>
    <row r="271" spans="1:20" x14ac:dyDescent="0.2">
      <c r="A271" t="s">
        <v>208</v>
      </c>
      <c r="B271" t="s">
        <v>183</v>
      </c>
      <c r="C271">
        <v>19</v>
      </c>
      <c r="D271">
        <v>13</v>
      </c>
      <c r="E271" t="s">
        <v>114</v>
      </c>
    </row>
    <row r="272" spans="1:20" x14ac:dyDescent="0.2">
      <c r="A272" t="s">
        <v>290</v>
      </c>
      <c r="B272" t="s">
        <v>225</v>
      </c>
      <c r="C272">
        <v>42</v>
      </c>
      <c r="D272">
        <v>55</v>
      </c>
      <c r="E272" t="s">
        <v>291</v>
      </c>
    </row>
    <row r="273" spans="1:9" x14ac:dyDescent="0.2">
      <c r="A273" t="s">
        <v>292</v>
      </c>
      <c r="B273" t="s">
        <v>225</v>
      </c>
      <c r="C273">
        <v>42</v>
      </c>
      <c r="D273">
        <v>59</v>
      </c>
      <c r="E273" t="s">
        <v>149</v>
      </c>
    </row>
    <row r="274" spans="1:9" x14ac:dyDescent="0.2">
      <c r="A274" t="s">
        <v>209</v>
      </c>
      <c r="B274" t="s">
        <v>183</v>
      </c>
      <c r="C274">
        <v>19</v>
      </c>
      <c r="D274">
        <v>79</v>
      </c>
      <c r="E274" t="s">
        <v>115</v>
      </c>
    </row>
    <row r="275" spans="1:9" x14ac:dyDescent="0.2">
      <c r="A275" t="s">
        <v>314</v>
      </c>
      <c r="B275" t="s">
        <v>118</v>
      </c>
      <c r="C275">
        <v>5</v>
      </c>
      <c r="D275">
        <v>35</v>
      </c>
      <c r="E275" t="s">
        <v>114</v>
      </c>
    </row>
    <row r="276" spans="1:9" x14ac:dyDescent="0.2">
      <c r="A276" t="s">
        <v>173</v>
      </c>
      <c r="B276" t="s">
        <v>158</v>
      </c>
      <c r="C276">
        <v>12</v>
      </c>
      <c r="D276">
        <v>99</v>
      </c>
      <c r="E276" t="s">
        <v>115</v>
      </c>
    </row>
    <row r="277" spans="1:9" x14ac:dyDescent="0.2">
      <c r="A277" t="s">
        <v>293</v>
      </c>
      <c r="B277" t="s">
        <v>225</v>
      </c>
      <c r="C277">
        <v>42</v>
      </c>
      <c r="D277">
        <v>45</v>
      </c>
      <c r="E277" t="s">
        <v>291</v>
      </c>
    </row>
    <row r="278" spans="1:9" x14ac:dyDescent="0.2">
      <c r="A278" t="s">
        <v>222</v>
      </c>
      <c r="B278" t="s">
        <v>211</v>
      </c>
      <c r="C278">
        <v>24</v>
      </c>
      <c r="D278">
        <v>13</v>
      </c>
      <c r="E278">
        <v>1973</v>
      </c>
      <c r="F278" t="s">
        <v>318</v>
      </c>
      <c r="I278">
        <v>0</v>
      </c>
    </row>
    <row r="279" spans="1:9" x14ac:dyDescent="0.2">
      <c r="A279" t="s">
        <v>294</v>
      </c>
      <c r="B279" t="s">
        <v>225</v>
      </c>
      <c r="C279">
        <v>42</v>
      </c>
      <c r="D279">
        <v>81</v>
      </c>
      <c r="E279" t="s">
        <v>122</v>
      </c>
    </row>
    <row r="280" spans="1:9" x14ac:dyDescent="0.2">
      <c r="A280" t="s">
        <v>154</v>
      </c>
      <c r="B280" t="s">
        <v>125</v>
      </c>
      <c r="C280">
        <v>9</v>
      </c>
      <c r="D280">
        <v>15</v>
      </c>
      <c r="E280">
        <v>1963</v>
      </c>
    </row>
    <row r="281" spans="1:9" x14ac:dyDescent="0.2">
      <c r="A281" t="s">
        <v>155</v>
      </c>
      <c r="B281" t="s">
        <v>156</v>
      </c>
      <c r="C281">
        <v>10</v>
      </c>
      <c r="D281">
        <v>3</v>
      </c>
      <c r="E281">
        <v>1960</v>
      </c>
      <c r="F281" t="s">
        <v>336</v>
      </c>
    </row>
    <row r="282" spans="1:9" x14ac:dyDescent="0.2">
      <c r="A282" t="s">
        <v>95</v>
      </c>
      <c r="B282" t="s">
        <v>99</v>
      </c>
      <c r="C282">
        <v>6</v>
      </c>
      <c r="D282">
        <v>113</v>
      </c>
      <c r="E282">
        <v>1960</v>
      </c>
      <c r="F282" t="s">
        <v>318</v>
      </c>
      <c r="I282">
        <v>1</v>
      </c>
    </row>
    <row r="283" spans="1:9" x14ac:dyDescent="0.2">
      <c r="A283" t="s">
        <v>296</v>
      </c>
      <c r="B283" t="s">
        <v>225</v>
      </c>
      <c r="C283">
        <v>42</v>
      </c>
      <c r="D283">
        <v>133</v>
      </c>
      <c r="E283" t="s">
        <v>295</v>
      </c>
      <c r="F283" t="s">
        <v>355</v>
      </c>
      <c r="I283">
        <v>1</v>
      </c>
    </row>
    <row r="284" spans="1:9" x14ac:dyDescent="0.2">
      <c r="A284" t="s">
        <v>297</v>
      </c>
      <c r="B284" t="s">
        <v>225</v>
      </c>
      <c r="C284">
        <v>42</v>
      </c>
      <c r="D284">
        <v>19</v>
      </c>
      <c r="E284">
        <v>1967</v>
      </c>
      <c r="F284" t="s">
        <v>353</v>
      </c>
      <c r="I284">
        <v>1</v>
      </c>
    </row>
  </sheetData>
  <autoFilter ref="A1:T284" xr:uid="{692154B4-2FC8-3842-BC39-F5CCE40D73EC}">
    <sortState xmlns:xlrd2="http://schemas.microsoft.com/office/spreadsheetml/2017/richdata2" ref="A2:T284">
      <sortCondition ref="A1:A284"/>
    </sortState>
  </autoFilter>
  <phoneticPr fontId="3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110D5-9FC5-564A-942F-8C90AB55D187}">
  <dimension ref="A1:D359"/>
  <sheetViews>
    <sheetView workbookViewId="0">
      <selection activeCell="F21" sqref="F21"/>
    </sheetView>
  </sheetViews>
  <sheetFormatPr baseColWidth="10" defaultRowHeight="16" outlineLevelCol="1" x14ac:dyDescent="0.2"/>
  <cols>
    <col min="1" max="1" width="49.83203125" bestFit="1" customWidth="1"/>
    <col min="2" max="2" width="29.83203125" hidden="1" customWidth="1" outlineLevel="1"/>
    <col min="3" max="3" width="29.6640625" bestFit="1" customWidth="1" collapsed="1"/>
  </cols>
  <sheetData>
    <row r="1" spans="1:4" x14ac:dyDescent="0.2">
      <c r="A1" t="s">
        <v>358</v>
      </c>
      <c r="B1" s="1" t="s">
        <v>359</v>
      </c>
      <c r="C1" t="s">
        <v>473</v>
      </c>
      <c r="D1" s="1" t="s">
        <v>87</v>
      </c>
    </row>
    <row r="2" spans="1:4" x14ac:dyDescent="0.2">
      <c r="A2" t="s">
        <v>380</v>
      </c>
      <c r="C2" t="str">
        <f t="shared" ref="C2:C19" si="0">IF(ISERROR(MATCH(A2,D:D,0)),"",A2)</f>
        <v/>
      </c>
      <c r="D2" t="s">
        <v>224</v>
      </c>
    </row>
    <row r="3" spans="1:4" x14ac:dyDescent="0.2">
      <c r="A3" t="s">
        <v>398</v>
      </c>
      <c r="C3" t="str">
        <f t="shared" si="0"/>
        <v/>
      </c>
      <c r="D3" t="s">
        <v>226</v>
      </c>
    </row>
    <row r="4" spans="1:4" x14ac:dyDescent="0.2">
      <c r="A4" t="s">
        <v>381</v>
      </c>
      <c r="C4" t="str">
        <f t="shared" si="0"/>
        <v/>
      </c>
      <c r="D4" t="s">
        <v>1</v>
      </c>
    </row>
    <row r="5" spans="1:4" x14ac:dyDescent="0.2">
      <c r="A5" t="s">
        <v>224</v>
      </c>
      <c r="B5" t="s">
        <v>224</v>
      </c>
      <c r="C5" t="str">
        <f t="shared" si="0"/>
        <v>Aliquippa</v>
      </c>
      <c r="D5" t="s">
        <v>227</v>
      </c>
    </row>
    <row r="6" spans="1:4" x14ac:dyDescent="0.2">
      <c r="A6" t="s">
        <v>226</v>
      </c>
      <c r="B6" t="s">
        <v>226</v>
      </c>
      <c r="C6" t="str">
        <f t="shared" si="0"/>
        <v>Allentown</v>
      </c>
      <c r="D6" t="s">
        <v>184</v>
      </c>
    </row>
    <row r="7" spans="1:4" x14ac:dyDescent="0.2">
      <c r="A7" t="s">
        <v>416</v>
      </c>
      <c r="C7" t="str">
        <f t="shared" si="0"/>
        <v/>
      </c>
      <c r="D7" t="s">
        <v>109</v>
      </c>
    </row>
    <row r="8" spans="1:4" x14ac:dyDescent="0.2">
      <c r="A8" t="s">
        <v>450</v>
      </c>
      <c r="C8" t="str">
        <f t="shared" si="0"/>
        <v/>
      </c>
      <c r="D8" t="s">
        <v>157</v>
      </c>
    </row>
    <row r="9" spans="1:4" x14ac:dyDescent="0.2">
      <c r="A9" t="s">
        <v>1</v>
      </c>
      <c r="B9" t="s">
        <v>1</v>
      </c>
      <c r="C9" t="str">
        <f t="shared" si="0"/>
        <v>Amador County</v>
      </c>
      <c r="D9" t="s">
        <v>228</v>
      </c>
    </row>
    <row r="10" spans="1:4" x14ac:dyDescent="0.2">
      <c r="A10" t="s">
        <v>227</v>
      </c>
      <c r="B10" t="s">
        <v>227</v>
      </c>
      <c r="C10" t="str">
        <f t="shared" si="0"/>
        <v>Ambridge</v>
      </c>
      <c r="D10" t="s">
        <v>174</v>
      </c>
    </row>
    <row r="11" spans="1:4" x14ac:dyDescent="0.2">
      <c r="A11" t="s">
        <v>184</v>
      </c>
      <c r="B11" t="s">
        <v>184</v>
      </c>
      <c r="C11" t="str">
        <f t="shared" si="0"/>
        <v>Ames</v>
      </c>
      <c r="D11" t="s">
        <v>186</v>
      </c>
    </row>
    <row r="12" spans="1:4" x14ac:dyDescent="0.2">
      <c r="A12" t="s">
        <v>109</v>
      </c>
      <c r="B12" t="s">
        <v>109</v>
      </c>
      <c r="C12" t="str">
        <f t="shared" si="0"/>
        <v>Anchorage</v>
      </c>
      <c r="D12" t="s">
        <v>337</v>
      </c>
    </row>
    <row r="13" spans="1:4" x14ac:dyDescent="0.2">
      <c r="A13" t="s">
        <v>157</v>
      </c>
      <c r="B13" t="s">
        <v>157</v>
      </c>
      <c r="C13" t="str">
        <f t="shared" si="0"/>
        <v>Arcadia</v>
      </c>
      <c r="D13" t="s">
        <v>210</v>
      </c>
    </row>
    <row r="14" spans="1:4" x14ac:dyDescent="0.2">
      <c r="A14" t="s">
        <v>228</v>
      </c>
      <c r="B14" t="s">
        <v>228</v>
      </c>
      <c r="C14" t="str">
        <f t="shared" si="0"/>
        <v>Ashland</v>
      </c>
      <c r="D14" t="s">
        <v>315</v>
      </c>
    </row>
    <row r="15" spans="1:4" x14ac:dyDescent="0.2">
      <c r="A15" t="s">
        <v>399</v>
      </c>
      <c r="B15" t="s">
        <v>174</v>
      </c>
      <c r="C15" t="str">
        <f t="shared" si="0"/>
        <v/>
      </c>
      <c r="D15" t="s">
        <v>229</v>
      </c>
    </row>
    <row r="16" spans="1:4" x14ac:dyDescent="0.2">
      <c r="A16" t="s">
        <v>174</v>
      </c>
      <c r="B16" t="s">
        <v>186</v>
      </c>
      <c r="C16" t="str">
        <f t="shared" si="0"/>
        <v>Atlanta</v>
      </c>
      <c r="D16" t="s">
        <v>324</v>
      </c>
    </row>
    <row r="17" spans="1:4" x14ac:dyDescent="0.2">
      <c r="A17" t="s">
        <v>186</v>
      </c>
      <c r="B17" t="s">
        <v>337</v>
      </c>
      <c r="C17" t="str">
        <f t="shared" si="0"/>
        <v>Atlantic</v>
      </c>
      <c r="D17" t="s">
        <v>307</v>
      </c>
    </row>
    <row r="18" spans="1:4" x14ac:dyDescent="0.2">
      <c r="A18" t="s">
        <v>337</v>
      </c>
      <c r="C18" t="str">
        <f t="shared" si="0"/>
        <v>Augusta</v>
      </c>
      <c r="D18" t="s">
        <v>2</v>
      </c>
    </row>
    <row r="19" spans="1:4" x14ac:dyDescent="0.2">
      <c r="A19" t="s">
        <v>210</v>
      </c>
      <c r="B19" t="s">
        <v>210</v>
      </c>
      <c r="C19" t="str">
        <f t="shared" si="0"/>
        <v>Baltimore</v>
      </c>
      <c r="D19" t="s">
        <v>159</v>
      </c>
    </row>
    <row r="20" spans="1:4" x14ac:dyDescent="0.2">
      <c r="A20" t="s">
        <v>410</v>
      </c>
      <c r="B20" t="s">
        <v>315</v>
      </c>
      <c r="C20" t="s">
        <v>210</v>
      </c>
      <c r="D20" t="s">
        <v>187</v>
      </c>
    </row>
    <row r="21" spans="1:4" x14ac:dyDescent="0.2">
      <c r="A21" t="s">
        <v>409</v>
      </c>
      <c r="C21" t="s">
        <v>210</v>
      </c>
      <c r="D21" t="s">
        <v>112</v>
      </c>
    </row>
    <row r="22" spans="1:4" x14ac:dyDescent="0.2">
      <c r="A22" t="s">
        <v>229</v>
      </c>
      <c r="B22" t="s">
        <v>229</v>
      </c>
      <c r="C22" t="str">
        <f t="shared" ref="C22:C42" si="1">IF(ISERROR(MATCH(A22,D:D,0)),"",A22)</f>
        <v>Bangor</v>
      </c>
      <c r="D22" t="s">
        <v>97</v>
      </c>
    </row>
    <row r="23" spans="1:4" x14ac:dyDescent="0.2">
      <c r="A23" t="s">
        <v>324</v>
      </c>
      <c r="B23" t="s">
        <v>324</v>
      </c>
      <c r="C23" t="str">
        <f t="shared" si="1"/>
        <v>Banning</v>
      </c>
      <c r="D23" t="s">
        <v>3</v>
      </c>
    </row>
    <row r="24" spans="1:4" x14ac:dyDescent="0.2">
      <c r="B24" t="s">
        <v>307</v>
      </c>
      <c r="C24" t="str">
        <f t="shared" si="1"/>
        <v/>
      </c>
      <c r="D24" t="s">
        <v>101</v>
      </c>
    </row>
    <row r="25" spans="1:4" x14ac:dyDescent="0.2">
      <c r="A25" t="s">
        <v>2</v>
      </c>
      <c r="B25" t="s">
        <v>2</v>
      </c>
      <c r="C25" t="str">
        <f t="shared" si="1"/>
        <v>Barstow</v>
      </c>
      <c r="D25" t="s">
        <v>230</v>
      </c>
    </row>
    <row r="26" spans="1:4" x14ac:dyDescent="0.2">
      <c r="A26" t="s">
        <v>159</v>
      </c>
      <c r="B26" t="s">
        <v>159</v>
      </c>
      <c r="C26" t="str">
        <f t="shared" si="1"/>
        <v>Bartow</v>
      </c>
      <c r="D26" t="s">
        <v>91</v>
      </c>
    </row>
    <row r="27" spans="1:4" x14ac:dyDescent="0.2">
      <c r="A27" t="s">
        <v>451</v>
      </c>
      <c r="B27" t="s">
        <v>187</v>
      </c>
      <c r="C27" t="str">
        <f t="shared" si="1"/>
        <v/>
      </c>
      <c r="D27" t="s">
        <v>302</v>
      </c>
    </row>
    <row r="28" spans="1:4" x14ac:dyDescent="0.2">
      <c r="A28" t="s">
        <v>187</v>
      </c>
      <c r="B28" t="s">
        <v>112</v>
      </c>
      <c r="C28" t="str">
        <f t="shared" si="1"/>
        <v>Bellevue</v>
      </c>
      <c r="D28" t="s">
        <v>4</v>
      </c>
    </row>
    <row r="29" spans="1:4" x14ac:dyDescent="0.2">
      <c r="A29" t="s">
        <v>112</v>
      </c>
      <c r="B29" t="s">
        <v>97</v>
      </c>
      <c r="C29" t="str">
        <f t="shared" si="1"/>
        <v>Benson</v>
      </c>
      <c r="D29" t="s">
        <v>160</v>
      </c>
    </row>
    <row r="30" spans="1:4" x14ac:dyDescent="0.2">
      <c r="A30" t="s">
        <v>97</v>
      </c>
      <c r="B30" t="s">
        <v>3</v>
      </c>
      <c r="C30" t="str">
        <f t="shared" si="1"/>
        <v>Bessemer</v>
      </c>
      <c r="D30" t="s">
        <v>231</v>
      </c>
    </row>
    <row r="31" spans="1:4" x14ac:dyDescent="0.2">
      <c r="A31" t="s">
        <v>444</v>
      </c>
      <c r="B31" t="s">
        <v>101</v>
      </c>
      <c r="C31" t="str">
        <f t="shared" si="1"/>
        <v/>
      </c>
      <c r="D31" t="s">
        <v>124</v>
      </c>
    </row>
    <row r="32" spans="1:4" x14ac:dyDescent="0.2">
      <c r="A32" t="s">
        <v>3</v>
      </c>
      <c r="B32" t="s">
        <v>230</v>
      </c>
      <c r="C32" t="str">
        <f t="shared" si="1"/>
        <v>Beverly Hills</v>
      </c>
      <c r="D32" t="s">
        <v>126</v>
      </c>
    </row>
    <row r="33" spans="1:4" x14ac:dyDescent="0.2">
      <c r="A33" t="s">
        <v>382</v>
      </c>
      <c r="B33" t="s">
        <v>91</v>
      </c>
      <c r="C33" t="str">
        <f t="shared" si="1"/>
        <v/>
      </c>
      <c r="D33" t="s">
        <v>189</v>
      </c>
    </row>
    <row r="34" spans="1:4" x14ac:dyDescent="0.2">
      <c r="A34" t="s">
        <v>101</v>
      </c>
      <c r="B34" t="s">
        <v>302</v>
      </c>
      <c r="C34" t="str">
        <f t="shared" si="1"/>
        <v>Birmingham</v>
      </c>
      <c r="D34" t="s">
        <v>232</v>
      </c>
    </row>
    <row r="35" spans="1:4" x14ac:dyDescent="0.2">
      <c r="A35" t="s">
        <v>230</v>
      </c>
      <c r="B35" t="s">
        <v>4</v>
      </c>
      <c r="C35" t="str">
        <f t="shared" si="1"/>
        <v>Blairsville</v>
      </c>
      <c r="D35" t="s">
        <v>5</v>
      </c>
    </row>
    <row r="36" spans="1:4" x14ac:dyDescent="0.2">
      <c r="A36" t="s">
        <v>91</v>
      </c>
      <c r="B36" t="s">
        <v>160</v>
      </c>
      <c r="C36" t="str">
        <f t="shared" si="1"/>
        <v>Bloomington</v>
      </c>
      <c r="D36" t="s">
        <v>338</v>
      </c>
    </row>
    <row r="37" spans="1:4" x14ac:dyDescent="0.2">
      <c r="A37" t="s">
        <v>302</v>
      </c>
      <c r="B37" t="s">
        <v>231</v>
      </c>
      <c r="C37" t="str">
        <f t="shared" si="1"/>
        <v>Blytheville</v>
      </c>
      <c r="D37" t="s">
        <v>6</v>
      </c>
    </row>
    <row r="38" spans="1:4" x14ac:dyDescent="0.2">
      <c r="A38" t="s">
        <v>417</v>
      </c>
      <c r="B38" t="s">
        <v>124</v>
      </c>
      <c r="C38" t="str">
        <f t="shared" si="1"/>
        <v/>
      </c>
      <c r="D38" t="s">
        <v>339</v>
      </c>
    </row>
    <row r="39" spans="1:4" x14ac:dyDescent="0.2">
      <c r="A39" t="s">
        <v>4</v>
      </c>
      <c r="B39" t="s">
        <v>126</v>
      </c>
      <c r="C39" t="str">
        <f t="shared" si="1"/>
        <v>Boron</v>
      </c>
      <c r="D39" t="s">
        <v>120</v>
      </c>
    </row>
    <row r="40" spans="1:4" x14ac:dyDescent="0.2">
      <c r="A40" t="s">
        <v>400</v>
      </c>
      <c r="B40" t="s">
        <v>189</v>
      </c>
      <c r="C40" t="str">
        <f t="shared" si="1"/>
        <v/>
      </c>
      <c r="D40" t="s">
        <v>7</v>
      </c>
    </row>
    <row r="41" spans="1:4" x14ac:dyDescent="0.2">
      <c r="A41" t="s">
        <v>160</v>
      </c>
      <c r="B41" t="s">
        <v>232</v>
      </c>
      <c r="C41" t="str">
        <f t="shared" si="1"/>
        <v>Bradenton</v>
      </c>
      <c r="D41" t="s">
        <v>233</v>
      </c>
    </row>
    <row r="42" spans="1:4" x14ac:dyDescent="0.2">
      <c r="A42" t="s">
        <v>231</v>
      </c>
      <c r="B42" t="s">
        <v>5</v>
      </c>
      <c r="C42" t="str">
        <f t="shared" si="1"/>
        <v>Bradford</v>
      </c>
      <c r="D42" t="s">
        <v>8</v>
      </c>
    </row>
    <row r="43" spans="1:4" x14ac:dyDescent="0.2">
      <c r="A43" t="s">
        <v>402</v>
      </c>
      <c r="B43" t="s">
        <v>338</v>
      </c>
      <c r="C43" t="s">
        <v>124</v>
      </c>
      <c r="D43" t="s">
        <v>213</v>
      </c>
    </row>
    <row r="44" spans="1:4" x14ac:dyDescent="0.2">
      <c r="A44" t="s">
        <v>126</v>
      </c>
      <c r="B44" t="s">
        <v>6</v>
      </c>
      <c r="C44" t="str">
        <f t="shared" ref="C44:C49" si="2">IF(ISERROR(MATCH(A44,D:D,0)),"",A44)</f>
        <v>Bristol</v>
      </c>
      <c r="D44" t="s">
        <v>214</v>
      </c>
    </row>
    <row r="45" spans="1:4" x14ac:dyDescent="0.2">
      <c r="A45" t="s">
        <v>445</v>
      </c>
      <c r="B45" t="s">
        <v>339</v>
      </c>
      <c r="C45" t="str">
        <f t="shared" si="2"/>
        <v/>
      </c>
      <c r="D45" t="s">
        <v>190</v>
      </c>
    </row>
    <row r="46" spans="1:4" x14ac:dyDescent="0.2">
      <c r="A46" t="s">
        <v>446</v>
      </c>
      <c r="B46" t="s">
        <v>120</v>
      </c>
      <c r="C46" t="str">
        <f t="shared" si="2"/>
        <v/>
      </c>
      <c r="D46" t="s">
        <v>234</v>
      </c>
    </row>
    <row r="47" spans="1:4" x14ac:dyDescent="0.2">
      <c r="A47" t="s">
        <v>189</v>
      </c>
      <c r="B47" t="s">
        <v>7</v>
      </c>
      <c r="C47" t="str">
        <f t="shared" si="2"/>
        <v>Burlington</v>
      </c>
      <c r="D47" t="s">
        <v>127</v>
      </c>
    </row>
    <row r="48" spans="1:4" x14ac:dyDescent="0.2">
      <c r="A48" t="s">
        <v>232</v>
      </c>
      <c r="B48" t="s">
        <v>233</v>
      </c>
      <c r="C48" t="str">
        <f t="shared" si="2"/>
        <v>Butler</v>
      </c>
      <c r="D48" t="s">
        <v>316</v>
      </c>
    </row>
    <row r="49" spans="1:4" x14ac:dyDescent="0.2">
      <c r="A49" t="s">
        <v>5</v>
      </c>
      <c r="B49" t="s">
        <v>8</v>
      </c>
      <c r="C49" t="str">
        <f t="shared" si="2"/>
        <v>Butte County</v>
      </c>
      <c r="D49" t="s">
        <v>235</v>
      </c>
    </row>
    <row r="50" spans="1:4" x14ac:dyDescent="0.2">
      <c r="A50" t="s">
        <v>428</v>
      </c>
      <c r="B50" t="s">
        <v>213</v>
      </c>
      <c r="C50" t="s">
        <v>338</v>
      </c>
      <c r="D50" t="s">
        <v>9</v>
      </c>
    </row>
    <row r="51" spans="1:4" x14ac:dyDescent="0.2">
      <c r="A51" t="s">
        <v>428</v>
      </c>
      <c r="C51" t="s">
        <v>339</v>
      </c>
    </row>
    <row r="52" spans="1:4" x14ac:dyDescent="0.2">
      <c r="A52" t="s">
        <v>6</v>
      </c>
      <c r="B52" t="s">
        <v>214</v>
      </c>
      <c r="C52" t="str">
        <f t="shared" ref="C52:C91" si="3">IF(ISERROR(MATCH(A52,D:D,0)),"",A52)</f>
        <v>Calaveras County</v>
      </c>
      <c r="D52" t="s">
        <v>212</v>
      </c>
    </row>
    <row r="53" spans="1:4" x14ac:dyDescent="0.2">
      <c r="A53" t="s">
        <v>120</v>
      </c>
      <c r="B53" t="s">
        <v>190</v>
      </c>
      <c r="C53" t="str">
        <f t="shared" si="3"/>
        <v>Camden</v>
      </c>
      <c r="D53" t="s">
        <v>236</v>
      </c>
    </row>
    <row r="54" spans="1:4" x14ac:dyDescent="0.2">
      <c r="A54" t="s">
        <v>7</v>
      </c>
      <c r="B54" t="s">
        <v>234</v>
      </c>
      <c r="C54" t="str">
        <f t="shared" si="3"/>
        <v>Campbell</v>
      </c>
      <c r="D54" t="s">
        <v>161</v>
      </c>
    </row>
    <row r="55" spans="1:4" x14ac:dyDescent="0.2">
      <c r="A55" t="s">
        <v>401</v>
      </c>
      <c r="B55" t="s">
        <v>127</v>
      </c>
      <c r="C55" t="str">
        <f t="shared" si="3"/>
        <v/>
      </c>
      <c r="D55" t="s">
        <v>10</v>
      </c>
    </row>
    <row r="56" spans="1:4" x14ac:dyDescent="0.2">
      <c r="A56" t="s">
        <v>233</v>
      </c>
      <c r="B56" t="s">
        <v>316</v>
      </c>
      <c r="C56" t="str">
        <f t="shared" si="3"/>
        <v>Carbondale</v>
      </c>
      <c r="D56" t="s">
        <v>128</v>
      </c>
    </row>
    <row r="57" spans="1:4" x14ac:dyDescent="0.2">
      <c r="A57" t="s">
        <v>408</v>
      </c>
      <c r="B57" t="s">
        <v>235</v>
      </c>
      <c r="C57" t="str">
        <f t="shared" si="3"/>
        <v/>
      </c>
      <c r="D57" t="s">
        <v>128</v>
      </c>
    </row>
    <row r="58" spans="1:4" x14ac:dyDescent="0.2">
      <c r="A58" t="s">
        <v>447</v>
      </c>
      <c r="B58" t="s">
        <v>9</v>
      </c>
      <c r="C58" t="str">
        <f t="shared" si="3"/>
        <v/>
      </c>
      <c r="D58" t="s">
        <v>11</v>
      </c>
    </row>
    <row r="59" spans="1:4" x14ac:dyDescent="0.2">
      <c r="A59" t="s">
        <v>8</v>
      </c>
      <c r="B59" t="s">
        <v>212</v>
      </c>
      <c r="C59" t="str">
        <f t="shared" si="3"/>
        <v>Carpinteria</v>
      </c>
      <c r="D59" t="s">
        <v>237</v>
      </c>
    </row>
    <row r="60" spans="1:4" x14ac:dyDescent="0.2">
      <c r="A60" t="s">
        <v>213</v>
      </c>
      <c r="B60" t="s">
        <v>236</v>
      </c>
      <c r="C60" t="str">
        <f t="shared" si="3"/>
        <v>Carroll County</v>
      </c>
      <c r="D60" t="s">
        <v>12</v>
      </c>
    </row>
    <row r="61" spans="1:4" x14ac:dyDescent="0.2">
      <c r="A61" t="s">
        <v>214</v>
      </c>
      <c r="B61" t="s">
        <v>161</v>
      </c>
      <c r="C61" t="str">
        <f t="shared" si="3"/>
        <v>Cecil County</v>
      </c>
      <c r="D61" t="s">
        <v>238</v>
      </c>
    </row>
    <row r="62" spans="1:4" x14ac:dyDescent="0.2">
      <c r="A62" t="s">
        <v>418</v>
      </c>
      <c r="B62" t="s">
        <v>10</v>
      </c>
      <c r="C62" t="str">
        <f t="shared" si="3"/>
        <v/>
      </c>
      <c r="D62" t="s">
        <v>176</v>
      </c>
    </row>
    <row r="63" spans="1:4" x14ac:dyDescent="0.2">
      <c r="A63" t="s">
        <v>190</v>
      </c>
      <c r="B63" t="s">
        <v>128</v>
      </c>
      <c r="C63" t="str">
        <f t="shared" si="3"/>
        <v>Cedar Rapids</v>
      </c>
      <c r="D63" t="s">
        <v>13</v>
      </c>
    </row>
    <row r="64" spans="1:4" x14ac:dyDescent="0.2">
      <c r="A64" t="s">
        <v>234</v>
      </c>
      <c r="B64" t="s">
        <v>128</v>
      </c>
      <c r="C64" t="str">
        <f t="shared" si="3"/>
        <v>Chambersburg</v>
      </c>
      <c r="D64" t="s">
        <v>14</v>
      </c>
    </row>
    <row r="65" spans="1:4" x14ac:dyDescent="0.2">
      <c r="A65" t="s">
        <v>127</v>
      </c>
      <c r="B65" t="s">
        <v>11</v>
      </c>
      <c r="C65" t="str">
        <f t="shared" si="3"/>
        <v>Cheshire</v>
      </c>
      <c r="D65" t="s">
        <v>15</v>
      </c>
    </row>
    <row r="66" spans="1:4" x14ac:dyDescent="0.2">
      <c r="A66" t="s">
        <v>235</v>
      </c>
      <c r="B66" t="s">
        <v>237</v>
      </c>
      <c r="C66" t="str">
        <f t="shared" si="3"/>
        <v>Clarks Summit</v>
      </c>
      <c r="D66" t="s">
        <v>191</v>
      </c>
    </row>
    <row r="67" spans="1:4" x14ac:dyDescent="0.2">
      <c r="A67" t="s">
        <v>9</v>
      </c>
      <c r="B67" t="s">
        <v>12</v>
      </c>
      <c r="C67" t="str">
        <f t="shared" si="3"/>
        <v>Clarksburg</v>
      </c>
      <c r="D67" t="s">
        <v>162</v>
      </c>
    </row>
    <row r="68" spans="1:4" x14ac:dyDescent="0.2">
      <c r="A68" t="s">
        <v>212</v>
      </c>
      <c r="B68" t="s">
        <v>238</v>
      </c>
      <c r="C68" t="str">
        <f t="shared" si="3"/>
        <v>Clarksville</v>
      </c>
      <c r="D68" t="s">
        <v>239</v>
      </c>
    </row>
    <row r="69" spans="1:4" x14ac:dyDescent="0.2">
      <c r="A69" t="s">
        <v>419</v>
      </c>
      <c r="B69" t="s">
        <v>176</v>
      </c>
      <c r="C69" t="str">
        <f t="shared" si="3"/>
        <v/>
      </c>
      <c r="D69" t="s">
        <v>130</v>
      </c>
    </row>
    <row r="70" spans="1:4" x14ac:dyDescent="0.2">
      <c r="A70" t="s">
        <v>236</v>
      </c>
      <c r="B70" t="s">
        <v>13</v>
      </c>
      <c r="C70" t="str">
        <f t="shared" si="3"/>
        <v>Clearfield</v>
      </c>
      <c r="D70" t="s">
        <v>132</v>
      </c>
    </row>
    <row r="71" spans="1:4" x14ac:dyDescent="0.2">
      <c r="A71" t="s">
        <v>161</v>
      </c>
      <c r="B71" t="s">
        <v>14</v>
      </c>
      <c r="C71" t="str">
        <f t="shared" si="3"/>
        <v>Clearwater</v>
      </c>
      <c r="D71" t="s">
        <v>240</v>
      </c>
    </row>
    <row r="72" spans="1:4" x14ac:dyDescent="0.2">
      <c r="A72" t="s">
        <v>10</v>
      </c>
      <c r="B72" t="s">
        <v>15</v>
      </c>
      <c r="C72" t="str">
        <f t="shared" si="3"/>
        <v>Clements</v>
      </c>
      <c r="D72" t="s">
        <v>192</v>
      </c>
    </row>
    <row r="73" spans="1:4" x14ac:dyDescent="0.2">
      <c r="A73" t="s">
        <v>394</v>
      </c>
      <c r="B73" t="s">
        <v>191</v>
      </c>
      <c r="C73" t="str">
        <f t="shared" si="3"/>
        <v/>
      </c>
      <c r="D73" t="s">
        <v>241</v>
      </c>
    </row>
    <row r="74" spans="1:4" x14ac:dyDescent="0.2">
      <c r="A74" t="s">
        <v>128</v>
      </c>
      <c r="B74" t="s">
        <v>162</v>
      </c>
      <c r="C74" t="str">
        <f t="shared" si="3"/>
        <v>Clinton</v>
      </c>
      <c r="D74" t="s">
        <v>193</v>
      </c>
    </row>
    <row r="75" spans="1:4" x14ac:dyDescent="0.2">
      <c r="A75" t="s">
        <v>11</v>
      </c>
      <c r="B75" t="s">
        <v>239</v>
      </c>
      <c r="C75" t="str">
        <f t="shared" si="3"/>
        <v>Coachella</v>
      </c>
      <c r="D75" t="s">
        <v>193</v>
      </c>
    </row>
    <row r="76" spans="1:4" x14ac:dyDescent="0.2">
      <c r="A76" t="s">
        <v>237</v>
      </c>
      <c r="B76" t="s">
        <v>130</v>
      </c>
      <c r="C76" t="str">
        <f t="shared" si="3"/>
        <v>Coatesville</v>
      </c>
      <c r="D76" t="s">
        <v>16</v>
      </c>
    </row>
    <row r="77" spans="1:4" x14ac:dyDescent="0.2">
      <c r="A77" t="s">
        <v>395</v>
      </c>
      <c r="B77" t="s">
        <v>132</v>
      </c>
      <c r="C77" t="str">
        <f t="shared" si="3"/>
        <v/>
      </c>
      <c r="D77" t="s">
        <v>242</v>
      </c>
    </row>
    <row r="78" spans="1:4" x14ac:dyDescent="0.2">
      <c r="A78" t="s">
        <v>396</v>
      </c>
      <c r="B78" t="s">
        <v>240</v>
      </c>
      <c r="C78" t="str">
        <f t="shared" si="3"/>
        <v/>
      </c>
      <c r="D78" t="s">
        <v>243</v>
      </c>
    </row>
    <row r="79" spans="1:4" x14ac:dyDescent="0.2">
      <c r="A79" t="s">
        <v>12</v>
      </c>
      <c r="B79" t="s">
        <v>192</v>
      </c>
      <c r="C79" t="str">
        <f t="shared" si="3"/>
        <v>Colton</v>
      </c>
      <c r="D79" t="s">
        <v>194</v>
      </c>
    </row>
    <row r="80" spans="1:4" x14ac:dyDescent="0.2">
      <c r="A80" t="s">
        <v>238</v>
      </c>
      <c r="B80" t="s">
        <v>241</v>
      </c>
      <c r="C80" t="str">
        <f t="shared" si="3"/>
        <v>Columbia</v>
      </c>
      <c r="D80" t="s">
        <v>244</v>
      </c>
    </row>
    <row r="81" spans="1:4" x14ac:dyDescent="0.2">
      <c r="A81" t="s">
        <v>176</v>
      </c>
      <c r="B81" t="s">
        <v>193</v>
      </c>
      <c r="C81" t="str">
        <f t="shared" si="3"/>
        <v>Columbus</v>
      </c>
      <c r="D81" t="s">
        <v>245</v>
      </c>
    </row>
    <row r="82" spans="1:4" x14ac:dyDescent="0.2">
      <c r="A82" t="s">
        <v>13</v>
      </c>
      <c r="C82" t="str">
        <f t="shared" si="3"/>
        <v>Colusa</v>
      </c>
      <c r="D82" t="s">
        <v>246</v>
      </c>
    </row>
    <row r="83" spans="1:4" x14ac:dyDescent="0.2">
      <c r="A83" t="s">
        <v>438</v>
      </c>
      <c r="C83" t="str">
        <f t="shared" si="3"/>
        <v/>
      </c>
      <c r="D83" t="s">
        <v>303</v>
      </c>
    </row>
    <row r="84" spans="1:4" x14ac:dyDescent="0.2">
      <c r="A84" t="s">
        <v>14</v>
      </c>
      <c r="C84" t="str">
        <f t="shared" si="3"/>
        <v>Contra Costa County</v>
      </c>
      <c r="D84" t="s">
        <v>247</v>
      </c>
    </row>
    <row r="85" spans="1:4" x14ac:dyDescent="0.2">
      <c r="A85" t="s">
        <v>15</v>
      </c>
      <c r="C85" t="str">
        <f t="shared" si="3"/>
        <v>Corona</v>
      </c>
      <c r="D85" t="s">
        <v>248</v>
      </c>
    </row>
    <row r="86" spans="1:4" x14ac:dyDescent="0.2">
      <c r="A86" t="s">
        <v>191</v>
      </c>
      <c r="C86" t="str">
        <f t="shared" si="3"/>
        <v>Council Bluffs</v>
      </c>
      <c r="D86" t="s">
        <v>92</v>
      </c>
    </row>
    <row r="87" spans="1:4" x14ac:dyDescent="0.2">
      <c r="A87" t="s">
        <v>162</v>
      </c>
      <c r="C87" t="str">
        <f t="shared" si="3"/>
        <v>Crestview</v>
      </c>
      <c r="D87" t="s">
        <v>110</v>
      </c>
    </row>
    <row r="88" spans="1:4" x14ac:dyDescent="0.2">
      <c r="A88" t="s">
        <v>369</v>
      </c>
      <c r="C88" t="str">
        <f t="shared" si="3"/>
        <v/>
      </c>
      <c r="D88" t="s">
        <v>102</v>
      </c>
    </row>
    <row r="89" spans="1:4" x14ac:dyDescent="0.2">
      <c r="A89" t="s">
        <v>239</v>
      </c>
      <c r="C89" t="str">
        <f t="shared" si="3"/>
        <v>Dallas</v>
      </c>
      <c r="D89" t="s">
        <v>304</v>
      </c>
    </row>
    <row r="90" spans="1:4" x14ac:dyDescent="0.2">
      <c r="A90" t="s">
        <v>130</v>
      </c>
      <c r="C90" t="str">
        <f t="shared" si="3"/>
        <v>Danbury</v>
      </c>
      <c r="D90" t="s">
        <v>299</v>
      </c>
    </row>
    <row r="91" spans="1:4" x14ac:dyDescent="0.2">
      <c r="A91" t="s">
        <v>132</v>
      </c>
      <c r="C91" t="str">
        <f t="shared" si="3"/>
        <v>Darien</v>
      </c>
      <c r="D91" t="s">
        <v>325</v>
      </c>
    </row>
    <row r="92" spans="1:4" x14ac:dyDescent="0.2">
      <c r="A92" t="s">
        <v>403</v>
      </c>
      <c r="C92" t="s">
        <v>132</v>
      </c>
      <c r="D92" t="s">
        <v>103</v>
      </c>
    </row>
    <row r="93" spans="1:4" x14ac:dyDescent="0.2">
      <c r="A93" t="s">
        <v>403</v>
      </c>
      <c r="C93" t="s">
        <v>143</v>
      </c>
    </row>
    <row r="94" spans="1:4" x14ac:dyDescent="0.2">
      <c r="A94" t="s">
        <v>240</v>
      </c>
      <c r="C94" t="str">
        <f>IF(ISERROR(MATCH(A94,D:D,0)),"",A94)</f>
        <v>Dauphin</v>
      </c>
      <c r="D94" t="s">
        <v>163</v>
      </c>
    </row>
    <row r="95" spans="1:4" x14ac:dyDescent="0.2">
      <c r="A95" t="s">
        <v>192</v>
      </c>
      <c r="C95" t="str">
        <f>IF(ISERROR(MATCH(A95,D:D,0)),"",A95)</f>
        <v>Davenport</v>
      </c>
      <c r="D95" t="s">
        <v>164</v>
      </c>
    </row>
    <row r="96" spans="1:4" x14ac:dyDescent="0.2">
      <c r="A96" t="s">
        <v>420</v>
      </c>
      <c r="C96" t="s">
        <v>192</v>
      </c>
      <c r="D96" t="s">
        <v>305</v>
      </c>
    </row>
    <row r="97" spans="1:4" x14ac:dyDescent="0.2">
      <c r="A97" t="s">
        <v>241</v>
      </c>
      <c r="C97" t="str">
        <f t="shared" ref="C97:C108" si="4">IF(ISERROR(MATCH(A97,D:D,0)),"",A97)</f>
        <v>Delaware County</v>
      </c>
      <c r="D97" t="s">
        <v>215</v>
      </c>
    </row>
    <row r="98" spans="1:4" x14ac:dyDescent="0.2">
      <c r="A98" t="s">
        <v>439</v>
      </c>
      <c r="C98" t="str">
        <f t="shared" si="4"/>
        <v/>
      </c>
      <c r="D98" t="s">
        <v>17</v>
      </c>
    </row>
    <row r="99" spans="1:4" x14ac:dyDescent="0.2">
      <c r="A99" t="s">
        <v>193</v>
      </c>
      <c r="C99" t="str">
        <f t="shared" si="4"/>
        <v>Des Moines</v>
      </c>
      <c r="D99" t="s">
        <v>18</v>
      </c>
    </row>
    <row r="100" spans="1:4" x14ac:dyDescent="0.2">
      <c r="A100" t="s">
        <v>16</v>
      </c>
      <c r="C100" t="str">
        <f t="shared" si="4"/>
        <v>Dixon</v>
      </c>
      <c r="D100" t="s">
        <v>104</v>
      </c>
    </row>
    <row r="101" spans="1:4" x14ac:dyDescent="0.2">
      <c r="A101" t="s">
        <v>440</v>
      </c>
      <c r="C101" t="str">
        <f t="shared" si="4"/>
        <v/>
      </c>
      <c r="D101" t="s">
        <v>19</v>
      </c>
    </row>
    <row r="102" spans="1:4" x14ac:dyDescent="0.2">
      <c r="A102" t="s">
        <v>242</v>
      </c>
      <c r="C102" t="str">
        <f t="shared" si="4"/>
        <v>Doylestown</v>
      </c>
      <c r="D102" t="s">
        <v>20</v>
      </c>
    </row>
    <row r="103" spans="1:4" x14ac:dyDescent="0.2">
      <c r="A103" t="s">
        <v>243</v>
      </c>
      <c r="C103" t="str">
        <f t="shared" si="4"/>
        <v>Dubois</v>
      </c>
      <c r="D103" t="s">
        <v>20</v>
      </c>
    </row>
    <row r="104" spans="1:4" x14ac:dyDescent="0.2">
      <c r="A104" t="s">
        <v>194</v>
      </c>
      <c r="C104" t="str">
        <f t="shared" si="4"/>
        <v>Dubuque</v>
      </c>
      <c r="D104" t="s">
        <v>249</v>
      </c>
    </row>
    <row r="105" spans="1:4" x14ac:dyDescent="0.2">
      <c r="A105" t="s">
        <v>383</v>
      </c>
      <c r="C105" t="str">
        <f t="shared" si="4"/>
        <v/>
      </c>
      <c r="D105" t="s">
        <v>133</v>
      </c>
    </row>
    <row r="106" spans="1:4" x14ac:dyDescent="0.2">
      <c r="A106" t="s">
        <v>361</v>
      </c>
      <c r="C106" t="str">
        <f t="shared" si="4"/>
        <v/>
      </c>
      <c r="D106" t="s">
        <v>250</v>
      </c>
    </row>
    <row r="107" spans="1:4" x14ac:dyDescent="0.2">
      <c r="A107" t="s">
        <v>244</v>
      </c>
      <c r="C107" t="str">
        <f t="shared" si="4"/>
        <v>Eastern Montgomery County</v>
      </c>
      <c r="D107" t="s">
        <v>195</v>
      </c>
    </row>
    <row r="108" spans="1:4" x14ac:dyDescent="0.2">
      <c r="A108" t="s">
        <v>245</v>
      </c>
      <c r="C108" t="str">
        <f t="shared" si="4"/>
        <v>Easton</v>
      </c>
      <c r="D108" t="s">
        <v>197</v>
      </c>
    </row>
    <row r="109" spans="1:4" x14ac:dyDescent="0.2">
      <c r="A109" t="s">
        <v>441</v>
      </c>
      <c r="C109" t="s">
        <v>246</v>
      </c>
      <c r="D109" t="s">
        <v>196</v>
      </c>
    </row>
    <row r="110" spans="1:4" x14ac:dyDescent="0.2">
      <c r="A110" t="s">
        <v>303</v>
      </c>
      <c r="C110" t="str">
        <f t="shared" ref="C110:C124" si="5">IF(ISERROR(MATCH(A110,D:D,0)),"",A110)</f>
        <v>El Dorado</v>
      </c>
      <c r="D110" t="s">
        <v>216</v>
      </c>
    </row>
    <row r="111" spans="1:4" x14ac:dyDescent="0.2">
      <c r="A111" t="s">
        <v>247</v>
      </c>
      <c r="C111" t="str">
        <f t="shared" si="5"/>
        <v>Elizabethville</v>
      </c>
      <c r="D111" t="s">
        <v>251</v>
      </c>
    </row>
    <row r="112" spans="1:4" x14ac:dyDescent="0.2">
      <c r="A112" t="s">
        <v>248</v>
      </c>
      <c r="C112" t="str">
        <f t="shared" si="5"/>
        <v>Erie</v>
      </c>
      <c r="D112" t="s">
        <v>134</v>
      </c>
    </row>
    <row r="113" spans="1:4" x14ac:dyDescent="0.2">
      <c r="A113" t="s">
        <v>435</v>
      </c>
      <c r="C113" t="str">
        <f t="shared" si="5"/>
        <v/>
      </c>
      <c r="D113" t="s">
        <v>300</v>
      </c>
    </row>
    <row r="114" spans="1:4" x14ac:dyDescent="0.2">
      <c r="A114" t="s">
        <v>92</v>
      </c>
      <c r="C114" t="str">
        <f t="shared" si="5"/>
        <v>Fair Oaks</v>
      </c>
      <c r="D114" t="s">
        <v>300</v>
      </c>
    </row>
    <row r="115" spans="1:4" x14ac:dyDescent="0.2">
      <c r="A115" t="s">
        <v>110</v>
      </c>
      <c r="C115" t="str">
        <f t="shared" si="5"/>
        <v>Fairbanks</v>
      </c>
      <c r="D115" t="s">
        <v>252</v>
      </c>
    </row>
    <row r="116" spans="1:4" x14ac:dyDescent="0.2">
      <c r="A116" t="s">
        <v>102</v>
      </c>
      <c r="C116" t="str">
        <f t="shared" si="5"/>
        <v>Fairhope</v>
      </c>
      <c r="D116" t="s">
        <v>21</v>
      </c>
    </row>
    <row r="117" spans="1:4" x14ac:dyDescent="0.2">
      <c r="A117" t="s">
        <v>304</v>
      </c>
      <c r="C117" t="str">
        <f t="shared" si="5"/>
        <v>Fayetteville</v>
      </c>
      <c r="D117" t="s">
        <v>179</v>
      </c>
    </row>
    <row r="118" spans="1:4" x14ac:dyDescent="0.2">
      <c r="A118" t="s">
        <v>299</v>
      </c>
      <c r="C118" t="str">
        <f t="shared" si="5"/>
        <v>Flagstaff</v>
      </c>
      <c r="D118" t="s">
        <v>308</v>
      </c>
    </row>
    <row r="119" spans="1:4" x14ac:dyDescent="0.2">
      <c r="A119" t="s">
        <v>325</v>
      </c>
      <c r="C119" t="str">
        <f t="shared" si="5"/>
        <v>Flat Rock</v>
      </c>
      <c r="D119" t="s">
        <v>22</v>
      </c>
    </row>
    <row r="120" spans="1:4" x14ac:dyDescent="0.2">
      <c r="A120" t="s">
        <v>103</v>
      </c>
      <c r="C120" t="str">
        <f t="shared" si="5"/>
        <v>Florence</v>
      </c>
      <c r="D120" t="s">
        <v>23</v>
      </c>
    </row>
    <row r="121" spans="1:4" x14ac:dyDescent="0.2">
      <c r="A121" t="s">
        <v>421</v>
      </c>
      <c r="C121" t="str">
        <f t="shared" si="5"/>
        <v/>
      </c>
      <c r="D121" t="s">
        <v>326</v>
      </c>
    </row>
    <row r="122" spans="1:4" x14ac:dyDescent="0.2">
      <c r="A122" t="s">
        <v>163</v>
      </c>
      <c r="C122" t="str">
        <f t="shared" si="5"/>
        <v>Fort Lauderdale</v>
      </c>
      <c r="D122" t="s">
        <v>326</v>
      </c>
    </row>
    <row r="123" spans="1:4" x14ac:dyDescent="0.2">
      <c r="A123" t="s">
        <v>422</v>
      </c>
      <c r="C123" t="str">
        <f t="shared" si="5"/>
        <v/>
      </c>
      <c r="D123" t="s">
        <v>326</v>
      </c>
    </row>
    <row r="124" spans="1:4" x14ac:dyDescent="0.2">
      <c r="A124" t="s">
        <v>164</v>
      </c>
      <c r="C124" t="str">
        <f t="shared" si="5"/>
        <v>Fort Myers</v>
      </c>
      <c r="D124" t="s">
        <v>24</v>
      </c>
    </row>
    <row r="125" spans="1:4" x14ac:dyDescent="0.2">
      <c r="A125" t="s">
        <v>370</v>
      </c>
      <c r="C125" t="s">
        <v>305</v>
      </c>
      <c r="D125" t="s">
        <v>198</v>
      </c>
    </row>
    <row r="126" spans="1:4" x14ac:dyDescent="0.2">
      <c r="A126" t="s">
        <v>371</v>
      </c>
      <c r="C126" t="s">
        <v>305</v>
      </c>
      <c r="D126" t="s">
        <v>199</v>
      </c>
    </row>
    <row r="127" spans="1:4" x14ac:dyDescent="0.2">
      <c r="A127" t="s">
        <v>372</v>
      </c>
      <c r="C127" t="s">
        <v>305</v>
      </c>
      <c r="D127" t="s">
        <v>181</v>
      </c>
    </row>
    <row r="128" spans="1:4" x14ac:dyDescent="0.2">
      <c r="A128" t="s">
        <v>215</v>
      </c>
      <c r="C128" t="str">
        <f t="shared" ref="C128:C134" si="6">IF(ISERROR(MATCH(A128,D:D,0)),"",A128)</f>
        <v>Frederick County</v>
      </c>
      <c r="D128" t="s">
        <v>165</v>
      </c>
    </row>
    <row r="129" spans="1:4" x14ac:dyDescent="0.2">
      <c r="A129" t="s">
        <v>17</v>
      </c>
      <c r="C129" t="str">
        <f t="shared" si="6"/>
        <v>Fresno</v>
      </c>
      <c r="D129" t="s">
        <v>165</v>
      </c>
    </row>
    <row r="130" spans="1:4" x14ac:dyDescent="0.2">
      <c r="A130" t="s">
        <v>18</v>
      </c>
      <c r="C130" t="str">
        <f t="shared" si="6"/>
        <v>Fresno County</v>
      </c>
      <c r="D130" t="s">
        <v>253</v>
      </c>
    </row>
    <row r="131" spans="1:4" x14ac:dyDescent="0.2">
      <c r="A131" t="s">
        <v>104</v>
      </c>
      <c r="C131" t="str">
        <f t="shared" si="6"/>
        <v>Gardendale</v>
      </c>
      <c r="D131" t="s">
        <v>309</v>
      </c>
    </row>
    <row r="132" spans="1:4" x14ac:dyDescent="0.2">
      <c r="A132" t="s">
        <v>19</v>
      </c>
      <c r="C132" t="str">
        <f t="shared" si="6"/>
        <v>Gilroy</v>
      </c>
      <c r="D132" t="s">
        <v>217</v>
      </c>
    </row>
    <row r="133" spans="1:4" x14ac:dyDescent="0.2">
      <c r="A133" t="s">
        <v>20</v>
      </c>
      <c r="C133" t="str">
        <f t="shared" si="6"/>
        <v>Glenn and Tehama Counties</v>
      </c>
      <c r="D133" t="s">
        <v>25</v>
      </c>
    </row>
    <row r="134" spans="1:4" x14ac:dyDescent="0.2">
      <c r="A134" t="s">
        <v>362</v>
      </c>
      <c r="C134" t="str">
        <f t="shared" si="6"/>
        <v/>
      </c>
      <c r="D134" t="s">
        <v>71</v>
      </c>
    </row>
    <row r="135" spans="1:4" x14ac:dyDescent="0.2">
      <c r="A135" t="s">
        <v>375</v>
      </c>
      <c r="C135" t="s">
        <v>119</v>
      </c>
      <c r="D135" t="s">
        <v>71</v>
      </c>
    </row>
    <row r="136" spans="1:4" x14ac:dyDescent="0.2">
      <c r="A136" t="s">
        <v>376</v>
      </c>
      <c r="C136" t="s">
        <v>119</v>
      </c>
      <c r="D136" t="s">
        <v>26</v>
      </c>
    </row>
    <row r="137" spans="1:4" x14ac:dyDescent="0.2">
      <c r="A137" t="s">
        <v>449</v>
      </c>
      <c r="C137" t="s">
        <v>173</v>
      </c>
      <c r="D137" t="s">
        <v>27</v>
      </c>
    </row>
    <row r="138" spans="1:4" x14ac:dyDescent="0.2">
      <c r="A138" t="s">
        <v>249</v>
      </c>
      <c r="C138" t="str">
        <f>IF(ISERROR(MATCH(A138,D:D,0)),"",A138)</f>
        <v>Greensburg</v>
      </c>
      <c r="D138" t="s">
        <v>27</v>
      </c>
    </row>
    <row r="139" spans="1:4" x14ac:dyDescent="0.2">
      <c r="A139" t="s">
        <v>133</v>
      </c>
      <c r="C139" t="str">
        <f>IF(ISERROR(MATCH(A139,D:D,0)),"",A139)</f>
        <v>Greenwich</v>
      </c>
      <c r="D139" t="s">
        <v>28</v>
      </c>
    </row>
    <row r="140" spans="1:4" x14ac:dyDescent="0.2">
      <c r="A140" t="s">
        <v>250</v>
      </c>
      <c r="C140" t="str">
        <f>IF(ISERROR(MATCH(A140,D:D,0)),"",A140)</f>
        <v>Grove City</v>
      </c>
      <c r="D140" t="s">
        <v>29</v>
      </c>
    </row>
    <row r="141" spans="1:4" x14ac:dyDescent="0.2">
      <c r="A141" t="s">
        <v>423</v>
      </c>
      <c r="C141" t="s">
        <v>195</v>
      </c>
      <c r="D141" t="s">
        <v>29</v>
      </c>
    </row>
    <row r="142" spans="1:4" x14ac:dyDescent="0.2">
      <c r="A142" t="s">
        <v>423</v>
      </c>
      <c r="C142" t="s">
        <v>196</v>
      </c>
    </row>
    <row r="143" spans="1:4" x14ac:dyDescent="0.2">
      <c r="A143" t="s">
        <v>216</v>
      </c>
      <c r="C143" t="str">
        <f t="shared" ref="C143:C151" si="7">IF(ISERROR(MATCH(A143,D:D,0)),"",A143)</f>
        <v>Harford County</v>
      </c>
      <c r="D143" t="s">
        <v>166</v>
      </c>
    </row>
    <row r="144" spans="1:4" x14ac:dyDescent="0.2">
      <c r="A144" t="s">
        <v>251</v>
      </c>
      <c r="C144" t="str">
        <f t="shared" si="7"/>
        <v>Harrisburg</v>
      </c>
      <c r="D144" t="s">
        <v>30</v>
      </c>
    </row>
    <row r="145" spans="1:4" x14ac:dyDescent="0.2">
      <c r="A145" t="s">
        <v>134</v>
      </c>
      <c r="C145" t="str">
        <f t="shared" si="7"/>
        <v>Hartford</v>
      </c>
      <c r="D145" t="s">
        <v>30</v>
      </c>
    </row>
    <row r="146" spans="1:4" x14ac:dyDescent="0.2">
      <c r="A146" t="s">
        <v>300</v>
      </c>
      <c r="C146" t="str">
        <f t="shared" si="7"/>
        <v>Hayden</v>
      </c>
      <c r="D146" t="s">
        <v>254</v>
      </c>
    </row>
    <row r="147" spans="1:4" x14ac:dyDescent="0.2">
      <c r="A147" t="s">
        <v>385</v>
      </c>
      <c r="B147" t="s">
        <v>193</v>
      </c>
      <c r="C147" t="str">
        <f t="shared" si="7"/>
        <v/>
      </c>
      <c r="D147" t="s">
        <v>310</v>
      </c>
    </row>
    <row r="148" spans="1:4" x14ac:dyDescent="0.2">
      <c r="A148" t="s">
        <v>252</v>
      </c>
      <c r="B148" t="s">
        <v>16</v>
      </c>
      <c r="C148" t="str">
        <f t="shared" si="7"/>
        <v>Hazleton</v>
      </c>
      <c r="D148" t="s">
        <v>119</v>
      </c>
    </row>
    <row r="149" spans="1:4" x14ac:dyDescent="0.2">
      <c r="A149" t="s">
        <v>21</v>
      </c>
      <c r="B149" t="s">
        <v>242</v>
      </c>
      <c r="C149" t="str">
        <f t="shared" si="7"/>
        <v>Hemet</v>
      </c>
      <c r="D149" t="s">
        <v>255</v>
      </c>
    </row>
    <row r="150" spans="1:4" x14ac:dyDescent="0.2">
      <c r="A150" t="s">
        <v>430</v>
      </c>
      <c r="B150" t="s">
        <v>243</v>
      </c>
      <c r="C150" t="str">
        <f t="shared" si="7"/>
        <v/>
      </c>
      <c r="D150" t="s">
        <v>31</v>
      </c>
    </row>
    <row r="151" spans="1:4" x14ac:dyDescent="0.2">
      <c r="A151" t="s">
        <v>179</v>
      </c>
      <c r="B151" t="s">
        <v>194</v>
      </c>
      <c r="C151" t="str">
        <f t="shared" si="7"/>
        <v>Honolulu</v>
      </c>
      <c r="D151" t="s">
        <v>32</v>
      </c>
    </row>
    <row r="152" spans="1:4" x14ac:dyDescent="0.2">
      <c r="A152" t="s">
        <v>373</v>
      </c>
      <c r="B152" t="s">
        <v>244</v>
      </c>
      <c r="C152" t="s">
        <v>308</v>
      </c>
      <c r="D152" t="s">
        <v>33</v>
      </c>
    </row>
    <row r="153" spans="1:4" x14ac:dyDescent="0.2">
      <c r="A153" t="s">
        <v>22</v>
      </c>
      <c r="B153" t="s">
        <v>245</v>
      </c>
      <c r="C153" t="str">
        <f t="shared" ref="C153:C180" si="8">IF(ISERROR(MATCH(A153,D:D,0)),"",A153)</f>
        <v>Humboldt County</v>
      </c>
      <c r="D153" t="s">
        <v>34</v>
      </c>
    </row>
    <row r="154" spans="1:4" x14ac:dyDescent="0.2">
      <c r="A154" t="s">
        <v>23</v>
      </c>
      <c r="B154" t="s">
        <v>246</v>
      </c>
      <c r="C154" t="str">
        <f t="shared" si="8"/>
        <v>Huntington Beach</v>
      </c>
      <c r="D154" t="s">
        <v>68</v>
      </c>
    </row>
    <row r="155" spans="1:4" x14ac:dyDescent="0.2">
      <c r="A155" t="s">
        <v>326</v>
      </c>
      <c r="B155" t="s">
        <v>303</v>
      </c>
      <c r="C155" t="str">
        <f t="shared" si="8"/>
        <v>Huntsville</v>
      </c>
      <c r="D155" t="s">
        <v>35</v>
      </c>
    </row>
    <row r="156" spans="1:4" x14ac:dyDescent="0.2">
      <c r="A156" t="s">
        <v>24</v>
      </c>
      <c r="B156" t="s">
        <v>247</v>
      </c>
      <c r="C156" t="str">
        <f t="shared" si="8"/>
        <v>Imperial County</v>
      </c>
      <c r="D156" t="s">
        <v>36</v>
      </c>
    </row>
    <row r="157" spans="1:4" x14ac:dyDescent="0.2">
      <c r="A157" t="s">
        <v>436</v>
      </c>
      <c r="B157" t="s">
        <v>248</v>
      </c>
      <c r="C157" t="str">
        <f t="shared" si="8"/>
        <v/>
      </c>
      <c r="D157" t="s">
        <v>37</v>
      </c>
    </row>
    <row r="158" spans="1:4" x14ac:dyDescent="0.2">
      <c r="A158" t="s">
        <v>198</v>
      </c>
      <c r="B158" t="s">
        <v>92</v>
      </c>
      <c r="C158" t="str">
        <f t="shared" si="8"/>
        <v>Iowa City</v>
      </c>
      <c r="D158" t="s">
        <v>38</v>
      </c>
    </row>
    <row r="159" spans="1:4" x14ac:dyDescent="0.2">
      <c r="A159" t="s">
        <v>199</v>
      </c>
      <c r="B159" t="s">
        <v>110</v>
      </c>
      <c r="C159" t="str">
        <f t="shared" si="8"/>
        <v>Iowa Falls</v>
      </c>
      <c r="D159" t="s">
        <v>256</v>
      </c>
    </row>
    <row r="160" spans="1:4" x14ac:dyDescent="0.2">
      <c r="A160" t="s">
        <v>437</v>
      </c>
      <c r="B160" t="s">
        <v>102</v>
      </c>
      <c r="C160" t="str">
        <f t="shared" si="8"/>
        <v/>
      </c>
      <c r="D160" t="s">
        <v>177</v>
      </c>
    </row>
    <row r="161" spans="1:4" x14ac:dyDescent="0.2">
      <c r="A161" t="s">
        <v>429</v>
      </c>
      <c r="B161" t="s">
        <v>304</v>
      </c>
      <c r="C161" t="str">
        <f t="shared" si="8"/>
        <v>Island Of Hawaii</v>
      </c>
      <c r="D161" t="s">
        <v>131</v>
      </c>
    </row>
    <row r="162" spans="1:4" x14ac:dyDescent="0.2">
      <c r="A162" t="s">
        <v>165</v>
      </c>
      <c r="B162" t="s">
        <v>299</v>
      </c>
      <c r="C162" t="str">
        <f t="shared" si="8"/>
        <v>Jacksonville</v>
      </c>
      <c r="D162" t="s">
        <v>39</v>
      </c>
    </row>
    <row r="163" spans="1:4" x14ac:dyDescent="0.2">
      <c r="A163" t="s">
        <v>454</v>
      </c>
      <c r="B163" t="s">
        <v>325</v>
      </c>
      <c r="C163" t="str">
        <f t="shared" si="8"/>
        <v/>
      </c>
      <c r="D163" t="s">
        <v>200</v>
      </c>
    </row>
    <row r="164" spans="1:4" x14ac:dyDescent="0.2">
      <c r="A164" t="s">
        <v>253</v>
      </c>
      <c r="B164" t="s">
        <v>103</v>
      </c>
      <c r="C164" t="str">
        <f t="shared" si="8"/>
        <v>Johnstown</v>
      </c>
      <c r="D164" t="s">
        <v>201</v>
      </c>
    </row>
    <row r="165" spans="1:4" x14ac:dyDescent="0.2">
      <c r="A165" t="s">
        <v>374</v>
      </c>
      <c r="B165" t="s">
        <v>163</v>
      </c>
      <c r="C165" t="str">
        <f t="shared" si="8"/>
        <v/>
      </c>
      <c r="D165" t="s">
        <v>257</v>
      </c>
    </row>
    <row r="166" spans="1:4" x14ac:dyDescent="0.2">
      <c r="A166" t="s">
        <v>360</v>
      </c>
      <c r="B166" t="s">
        <v>164</v>
      </c>
      <c r="C166" t="str">
        <f t="shared" si="8"/>
        <v/>
      </c>
      <c r="D166" t="s">
        <v>258</v>
      </c>
    </row>
    <row r="167" spans="1:4" x14ac:dyDescent="0.2">
      <c r="A167" t="s">
        <v>411</v>
      </c>
      <c r="B167" t="s">
        <v>305</v>
      </c>
      <c r="C167" t="str">
        <f t="shared" si="8"/>
        <v/>
      </c>
      <c r="D167" t="s">
        <v>135</v>
      </c>
    </row>
    <row r="168" spans="1:4" x14ac:dyDescent="0.2">
      <c r="A168" t="s">
        <v>424</v>
      </c>
      <c r="B168" t="s">
        <v>215</v>
      </c>
      <c r="C168" t="str">
        <f t="shared" si="8"/>
        <v/>
      </c>
      <c r="D168" t="s">
        <v>167</v>
      </c>
    </row>
    <row r="169" spans="1:4" x14ac:dyDescent="0.2">
      <c r="A169" t="s">
        <v>25</v>
      </c>
      <c r="B169" t="s">
        <v>17</v>
      </c>
      <c r="C169" t="str">
        <f t="shared" si="8"/>
        <v>Kern County</v>
      </c>
      <c r="D169" t="s">
        <v>136</v>
      </c>
    </row>
    <row r="170" spans="1:4" x14ac:dyDescent="0.2">
      <c r="A170" t="s">
        <v>71</v>
      </c>
      <c r="B170" t="s">
        <v>18</v>
      </c>
      <c r="C170" t="str">
        <f t="shared" si="8"/>
        <v>Kings and Tulare Counties</v>
      </c>
      <c r="D170" t="s">
        <v>137</v>
      </c>
    </row>
    <row r="171" spans="1:4" x14ac:dyDescent="0.2">
      <c r="A171" t="s">
        <v>26</v>
      </c>
      <c r="B171" t="s">
        <v>104</v>
      </c>
      <c r="C171" t="str">
        <f t="shared" si="8"/>
        <v>Laguna Beach</v>
      </c>
      <c r="D171" t="s">
        <v>105</v>
      </c>
    </row>
    <row r="172" spans="1:4" x14ac:dyDescent="0.2">
      <c r="A172" t="s">
        <v>384</v>
      </c>
      <c r="B172" t="s">
        <v>19</v>
      </c>
      <c r="C172" t="str">
        <f t="shared" si="8"/>
        <v>Lake And Mendocino Counties</v>
      </c>
      <c r="D172" t="s">
        <v>259</v>
      </c>
    </row>
    <row r="173" spans="1:4" x14ac:dyDescent="0.2">
      <c r="A173" t="s">
        <v>28</v>
      </c>
      <c r="B173" t="s">
        <v>20</v>
      </c>
      <c r="C173" t="str">
        <f t="shared" si="8"/>
        <v>Lake Arrowhead</v>
      </c>
      <c r="D173" t="s">
        <v>260</v>
      </c>
    </row>
    <row r="174" spans="1:4" x14ac:dyDescent="0.2">
      <c r="A174" t="s">
        <v>29</v>
      </c>
      <c r="B174" t="s">
        <v>20</v>
      </c>
      <c r="C174" t="str">
        <f t="shared" si="8"/>
        <v>Lake Tahoe</v>
      </c>
      <c r="D174" t="s">
        <v>84</v>
      </c>
    </row>
    <row r="175" spans="1:4" x14ac:dyDescent="0.2">
      <c r="A175" t="s">
        <v>166</v>
      </c>
      <c r="B175" t="s">
        <v>249</v>
      </c>
      <c r="C175" t="str">
        <f t="shared" si="8"/>
        <v>Lake Wales</v>
      </c>
      <c r="D175" t="s">
        <v>84</v>
      </c>
    </row>
    <row r="176" spans="1:4" x14ac:dyDescent="0.2">
      <c r="A176" t="s">
        <v>431</v>
      </c>
      <c r="B176" t="s">
        <v>133</v>
      </c>
      <c r="C176" t="str">
        <f t="shared" si="8"/>
        <v/>
      </c>
      <c r="D176" t="s">
        <v>106</v>
      </c>
    </row>
    <row r="177" spans="1:4" x14ac:dyDescent="0.2">
      <c r="A177" t="s">
        <v>30</v>
      </c>
      <c r="B177" t="s">
        <v>250</v>
      </c>
      <c r="C177" t="str">
        <f t="shared" si="8"/>
        <v>Lancaster</v>
      </c>
      <c r="D177" t="s">
        <v>261</v>
      </c>
    </row>
    <row r="178" spans="1:4" x14ac:dyDescent="0.2">
      <c r="A178" t="s">
        <v>254</v>
      </c>
      <c r="B178" t="s">
        <v>195</v>
      </c>
      <c r="C178" t="str">
        <f t="shared" si="8"/>
        <v>Landsdale</v>
      </c>
      <c r="D178" t="s">
        <v>40</v>
      </c>
    </row>
    <row r="179" spans="1:4" x14ac:dyDescent="0.2">
      <c r="A179" t="s">
        <v>310</v>
      </c>
      <c r="B179" t="s">
        <v>197</v>
      </c>
      <c r="C179" t="str">
        <f t="shared" si="8"/>
        <v>Leachville</v>
      </c>
      <c r="D179" t="s">
        <v>262</v>
      </c>
    </row>
    <row r="180" spans="1:4" x14ac:dyDescent="0.2">
      <c r="A180" t="s">
        <v>452</v>
      </c>
      <c r="B180" t="s">
        <v>196</v>
      </c>
      <c r="C180" t="str">
        <f t="shared" si="8"/>
        <v/>
      </c>
      <c r="D180" t="s">
        <v>202</v>
      </c>
    </row>
    <row r="181" spans="1:4" x14ac:dyDescent="0.2">
      <c r="A181" t="s">
        <v>377</v>
      </c>
      <c r="B181" t="s">
        <v>216</v>
      </c>
      <c r="C181" t="s">
        <v>119</v>
      </c>
      <c r="D181" t="s">
        <v>263</v>
      </c>
    </row>
    <row r="182" spans="1:4" x14ac:dyDescent="0.2">
      <c r="A182" t="s">
        <v>255</v>
      </c>
      <c r="B182" t="s">
        <v>251</v>
      </c>
      <c r="C182" t="str">
        <f t="shared" ref="C182:C203" si="9">IF(ISERROR(MATCH(A182,D:D,0)),"",A182)</f>
        <v>Littlestown</v>
      </c>
      <c r="D182" t="s">
        <v>41</v>
      </c>
    </row>
    <row r="183" spans="1:4" x14ac:dyDescent="0.2">
      <c r="A183" t="s">
        <v>31</v>
      </c>
      <c r="B183" t="s">
        <v>134</v>
      </c>
      <c r="C183" t="str">
        <f t="shared" si="9"/>
        <v>Lodi</v>
      </c>
      <c r="D183" t="s">
        <v>138</v>
      </c>
    </row>
    <row r="184" spans="1:4" x14ac:dyDescent="0.2">
      <c r="A184" t="s">
        <v>32</v>
      </c>
      <c r="B184" t="s">
        <v>300</v>
      </c>
      <c r="C184" t="str">
        <f t="shared" si="9"/>
        <v>Lompoc</v>
      </c>
      <c r="D184" t="s">
        <v>140</v>
      </c>
    </row>
    <row r="185" spans="1:4" x14ac:dyDescent="0.2">
      <c r="A185" t="s">
        <v>33</v>
      </c>
      <c r="B185" t="s">
        <v>300</v>
      </c>
      <c r="C185" t="str">
        <f t="shared" si="9"/>
        <v>Los Altos</v>
      </c>
      <c r="D185" t="s">
        <v>107</v>
      </c>
    </row>
    <row r="186" spans="1:4" x14ac:dyDescent="0.2">
      <c r="A186" t="s">
        <v>34</v>
      </c>
      <c r="B186" t="s">
        <v>252</v>
      </c>
      <c r="C186" t="str">
        <f t="shared" si="9"/>
        <v>Los Angeles (Western)</v>
      </c>
      <c r="D186" t="s">
        <v>264</v>
      </c>
    </row>
    <row r="187" spans="1:4" x14ac:dyDescent="0.2">
      <c r="A187" t="s">
        <v>68</v>
      </c>
      <c r="B187" t="s">
        <v>21</v>
      </c>
      <c r="C187" t="str">
        <f t="shared" si="9"/>
        <v>Los Angeles Central Area</v>
      </c>
      <c r="D187" t="s">
        <v>141</v>
      </c>
    </row>
    <row r="188" spans="1:4" x14ac:dyDescent="0.2">
      <c r="A188" t="s">
        <v>35</v>
      </c>
      <c r="B188" t="s">
        <v>179</v>
      </c>
      <c r="C188" t="str">
        <f t="shared" si="9"/>
        <v>Los Angeles Northeastern Section</v>
      </c>
      <c r="D188" t="s">
        <v>142</v>
      </c>
    </row>
    <row r="189" spans="1:4" x14ac:dyDescent="0.2">
      <c r="A189" t="s">
        <v>36</v>
      </c>
      <c r="B189" t="s">
        <v>308</v>
      </c>
      <c r="C189" t="str">
        <f t="shared" si="9"/>
        <v>Los Angeles Northwestern Section</v>
      </c>
      <c r="D189" t="s">
        <v>42</v>
      </c>
    </row>
    <row r="190" spans="1:4" x14ac:dyDescent="0.2">
      <c r="A190" t="s">
        <v>37</v>
      </c>
      <c r="B190" t="s">
        <v>22</v>
      </c>
      <c r="C190" t="str">
        <f t="shared" si="9"/>
        <v>Los Angeles Southern Section</v>
      </c>
      <c r="D190" t="s">
        <v>301</v>
      </c>
    </row>
    <row r="191" spans="1:4" x14ac:dyDescent="0.2">
      <c r="A191" t="s">
        <v>38</v>
      </c>
      <c r="B191" t="s">
        <v>23</v>
      </c>
      <c r="C191" t="str">
        <f t="shared" si="9"/>
        <v>Los Gatos</v>
      </c>
      <c r="D191" t="s">
        <v>265</v>
      </c>
    </row>
    <row r="192" spans="1:4" x14ac:dyDescent="0.2">
      <c r="A192" t="s">
        <v>256</v>
      </c>
      <c r="B192" t="s">
        <v>326</v>
      </c>
      <c r="C192" t="str">
        <f t="shared" si="9"/>
        <v>Lower Bucks County</v>
      </c>
      <c r="D192" t="s">
        <v>266</v>
      </c>
    </row>
    <row r="193" spans="1:4" x14ac:dyDescent="0.2">
      <c r="A193" t="s">
        <v>177</v>
      </c>
      <c r="B193" t="s">
        <v>326</v>
      </c>
      <c r="C193" t="str">
        <f t="shared" si="9"/>
        <v>Macon</v>
      </c>
      <c r="D193" t="s">
        <v>143</v>
      </c>
    </row>
    <row r="194" spans="1:4" x14ac:dyDescent="0.2">
      <c r="A194" t="s">
        <v>393</v>
      </c>
      <c r="B194" t="s">
        <v>326</v>
      </c>
      <c r="C194" t="str">
        <f t="shared" si="9"/>
        <v/>
      </c>
      <c r="D194" t="s">
        <v>144</v>
      </c>
    </row>
    <row r="195" spans="1:4" x14ac:dyDescent="0.2">
      <c r="A195" t="s">
        <v>363</v>
      </c>
      <c r="B195" t="s">
        <v>24</v>
      </c>
      <c r="C195" t="str">
        <f t="shared" si="9"/>
        <v/>
      </c>
      <c r="D195" t="s">
        <v>93</v>
      </c>
    </row>
    <row r="196" spans="1:4" x14ac:dyDescent="0.2">
      <c r="A196" t="s">
        <v>131</v>
      </c>
      <c r="B196" t="s">
        <v>198</v>
      </c>
      <c r="C196" t="str">
        <f t="shared" si="9"/>
        <v>Manchester</v>
      </c>
      <c r="D196" t="s">
        <v>94</v>
      </c>
    </row>
    <row r="197" spans="1:4" x14ac:dyDescent="0.2">
      <c r="A197" t="s">
        <v>364</v>
      </c>
      <c r="B197" t="s">
        <v>199</v>
      </c>
      <c r="C197" t="str">
        <f t="shared" si="9"/>
        <v/>
      </c>
      <c r="D197" t="s">
        <v>43</v>
      </c>
    </row>
    <row r="198" spans="1:4" x14ac:dyDescent="0.2">
      <c r="A198" t="s">
        <v>39</v>
      </c>
      <c r="B198" t="s">
        <v>181</v>
      </c>
      <c r="C198" t="str">
        <f t="shared" si="9"/>
        <v>Marin County</v>
      </c>
      <c r="D198" t="s">
        <v>69</v>
      </c>
    </row>
    <row r="199" spans="1:4" x14ac:dyDescent="0.2">
      <c r="A199" t="s">
        <v>200</v>
      </c>
      <c r="B199" t="s">
        <v>165</v>
      </c>
      <c r="C199" t="str">
        <f t="shared" si="9"/>
        <v>Marshalltown</v>
      </c>
      <c r="D199" t="s">
        <v>69</v>
      </c>
    </row>
    <row r="200" spans="1:4" x14ac:dyDescent="0.2">
      <c r="A200" t="s">
        <v>201</v>
      </c>
      <c r="B200" t="s">
        <v>165</v>
      </c>
      <c r="C200" t="str">
        <f t="shared" si="9"/>
        <v>Mason City</v>
      </c>
      <c r="D200" t="s">
        <v>168</v>
      </c>
    </row>
    <row r="201" spans="1:4" x14ac:dyDescent="0.2">
      <c r="A201" t="s">
        <v>257</v>
      </c>
      <c r="B201" t="s">
        <v>253</v>
      </c>
      <c r="C201" t="str">
        <f t="shared" si="9"/>
        <v>Mckeesport</v>
      </c>
      <c r="D201" t="s">
        <v>203</v>
      </c>
    </row>
    <row r="202" spans="1:4" x14ac:dyDescent="0.2">
      <c r="A202" t="s">
        <v>453</v>
      </c>
      <c r="B202" t="s">
        <v>309</v>
      </c>
      <c r="C202" t="str">
        <f t="shared" si="9"/>
        <v/>
      </c>
      <c r="D202" t="s">
        <v>204</v>
      </c>
    </row>
    <row r="203" spans="1:4" x14ac:dyDescent="0.2">
      <c r="A203" t="s">
        <v>258</v>
      </c>
      <c r="B203" t="s">
        <v>217</v>
      </c>
      <c r="C203" t="str">
        <f t="shared" si="9"/>
        <v>Mechanicsburg</v>
      </c>
      <c r="D203" t="s">
        <v>44</v>
      </c>
    </row>
    <row r="204" spans="1:4" x14ac:dyDescent="0.2">
      <c r="A204" t="s">
        <v>405</v>
      </c>
      <c r="B204" t="s">
        <v>25</v>
      </c>
      <c r="C204" t="s">
        <v>135</v>
      </c>
      <c r="D204" t="s">
        <v>45</v>
      </c>
    </row>
    <row r="205" spans="1:4" x14ac:dyDescent="0.2">
      <c r="A205" t="s">
        <v>397</v>
      </c>
      <c r="B205" t="s">
        <v>71</v>
      </c>
      <c r="D205" t="s">
        <v>46</v>
      </c>
    </row>
    <row r="206" spans="1:4" x14ac:dyDescent="0.2">
      <c r="A206" t="s">
        <v>365</v>
      </c>
      <c r="B206" t="s">
        <v>71</v>
      </c>
      <c r="C206" t="s">
        <v>117</v>
      </c>
      <c r="D206" t="s">
        <v>47</v>
      </c>
    </row>
    <row r="207" spans="1:4" x14ac:dyDescent="0.2">
      <c r="A207" t="s">
        <v>167</v>
      </c>
      <c r="B207" t="s">
        <v>26</v>
      </c>
      <c r="C207" t="str">
        <f>IF(ISERROR(MATCH(A207,D:D,0)),"",A207)</f>
        <v>Miami</v>
      </c>
      <c r="D207" t="s">
        <v>311</v>
      </c>
    </row>
    <row r="208" spans="1:4" x14ac:dyDescent="0.2">
      <c r="A208" t="s">
        <v>432</v>
      </c>
      <c r="B208" t="s">
        <v>27</v>
      </c>
      <c r="C208" t="s">
        <v>167</v>
      </c>
      <c r="D208" t="s">
        <v>169</v>
      </c>
    </row>
    <row r="209" spans="1:4" x14ac:dyDescent="0.2">
      <c r="A209" t="s">
        <v>433</v>
      </c>
      <c r="B209" t="s">
        <v>27</v>
      </c>
      <c r="C209" t="s">
        <v>167</v>
      </c>
      <c r="D209" t="s">
        <v>267</v>
      </c>
    </row>
    <row r="210" spans="1:4" x14ac:dyDescent="0.2">
      <c r="A210" t="s">
        <v>136</v>
      </c>
      <c r="B210" t="s">
        <v>28</v>
      </c>
      <c r="C210" t="str">
        <f t="shared" ref="C210:C241" si="10">IF(ISERROR(MATCH(A210,D:D,0)),"",A210)</f>
        <v>Middletown</v>
      </c>
      <c r="D210" t="s">
        <v>268</v>
      </c>
    </row>
    <row r="211" spans="1:4" x14ac:dyDescent="0.2">
      <c r="A211" t="s">
        <v>455</v>
      </c>
      <c r="B211" t="s">
        <v>29</v>
      </c>
      <c r="C211" t="str">
        <f t="shared" si="10"/>
        <v/>
      </c>
      <c r="D211" t="s">
        <v>117</v>
      </c>
    </row>
    <row r="212" spans="1:4" x14ac:dyDescent="0.2">
      <c r="A212" t="s">
        <v>137</v>
      </c>
      <c r="B212" t="s">
        <v>29</v>
      </c>
      <c r="C212" t="str">
        <f t="shared" si="10"/>
        <v>Milford</v>
      </c>
      <c r="D212" t="s">
        <v>269</v>
      </c>
    </row>
    <row r="213" spans="1:4" x14ac:dyDescent="0.2">
      <c r="A213" t="s">
        <v>105</v>
      </c>
      <c r="B213" t="s">
        <v>166</v>
      </c>
      <c r="C213" t="str">
        <f t="shared" si="10"/>
        <v>Mobile</v>
      </c>
      <c r="D213" t="s">
        <v>312</v>
      </c>
    </row>
    <row r="214" spans="1:4" x14ac:dyDescent="0.2">
      <c r="A214" t="s">
        <v>386</v>
      </c>
      <c r="B214" t="s">
        <v>30</v>
      </c>
      <c r="C214" t="str">
        <f t="shared" si="10"/>
        <v/>
      </c>
      <c r="D214" t="s">
        <v>271</v>
      </c>
    </row>
    <row r="215" spans="1:4" x14ac:dyDescent="0.2">
      <c r="A215" t="s">
        <v>387</v>
      </c>
      <c r="B215" t="s">
        <v>30</v>
      </c>
      <c r="C215" t="str">
        <f t="shared" si="10"/>
        <v/>
      </c>
      <c r="D215" t="s">
        <v>273</v>
      </c>
    </row>
    <row r="216" spans="1:4" x14ac:dyDescent="0.2">
      <c r="A216" t="s">
        <v>259</v>
      </c>
      <c r="B216" t="s">
        <v>254</v>
      </c>
      <c r="C216" t="str">
        <f t="shared" si="10"/>
        <v>Monessen</v>
      </c>
      <c r="D216" t="s">
        <v>274</v>
      </c>
    </row>
    <row r="217" spans="1:4" x14ac:dyDescent="0.2">
      <c r="A217" t="s">
        <v>378</v>
      </c>
      <c r="B217" t="s">
        <v>310</v>
      </c>
      <c r="C217" t="str">
        <f t="shared" si="10"/>
        <v/>
      </c>
      <c r="D217" t="s">
        <v>48</v>
      </c>
    </row>
    <row r="218" spans="1:4" x14ac:dyDescent="0.2">
      <c r="A218" t="s">
        <v>260</v>
      </c>
      <c r="B218" t="s">
        <v>119</v>
      </c>
      <c r="C218" t="str">
        <f t="shared" si="10"/>
        <v>Monroeville</v>
      </c>
      <c r="D218" t="s">
        <v>146</v>
      </c>
    </row>
    <row r="219" spans="1:4" x14ac:dyDescent="0.2">
      <c r="A219" t="s">
        <v>389</v>
      </c>
      <c r="B219" t="s">
        <v>255</v>
      </c>
      <c r="C219" t="str">
        <f t="shared" si="10"/>
        <v/>
      </c>
      <c r="D219" t="s">
        <v>276</v>
      </c>
    </row>
    <row r="220" spans="1:4" x14ac:dyDescent="0.2">
      <c r="A220" t="s">
        <v>388</v>
      </c>
      <c r="B220" t="s">
        <v>31</v>
      </c>
      <c r="C220" t="str">
        <f t="shared" si="10"/>
        <v/>
      </c>
      <c r="D220" t="s">
        <v>218</v>
      </c>
    </row>
    <row r="221" spans="1:4" x14ac:dyDescent="0.2">
      <c r="A221" t="s">
        <v>106</v>
      </c>
      <c r="B221" t="s">
        <v>32</v>
      </c>
      <c r="C221" t="str">
        <f t="shared" si="10"/>
        <v>Montgomery</v>
      </c>
      <c r="D221" t="s">
        <v>277</v>
      </c>
    </row>
    <row r="222" spans="1:4" x14ac:dyDescent="0.2">
      <c r="A222" t="s">
        <v>261</v>
      </c>
      <c r="B222" t="s">
        <v>33</v>
      </c>
      <c r="C222" t="str">
        <f t="shared" si="10"/>
        <v>Moosic</v>
      </c>
      <c r="D222" t="s">
        <v>49</v>
      </c>
    </row>
    <row r="223" spans="1:4" x14ac:dyDescent="0.2">
      <c r="A223" t="s">
        <v>40</v>
      </c>
      <c r="B223" t="s">
        <v>34</v>
      </c>
      <c r="C223" t="str">
        <f t="shared" si="10"/>
        <v>Morgan Hill</v>
      </c>
      <c r="D223" t="s">
        <v>50</v>
      </c>
    </row>
    <row r="224" spans="1:4" x14ac:dyDescent="0.2">
      <c r="A224" t="s">
        <v>262</v>
      </c>
      <c r="B224" t="s">
        <v>68</v>
      </c>
      <c r="C224" t="str">
        <f t="shared" si="10"/>
        <v>Mount Carmel</v>
      </c>
      <c r="D224" t="s">
        <v>219</v>
      </c>
    </row>
    <row r="225" spans="1:4" x14ac:dyDescent="0.2">
      <c r="A225" t="s">
        <v>456</v>
      </c>
      <c r="B225" t="s">
        <v>35</v>
      </c>
      <c r="C225" t="str">
        <f t="shared" si="10"/>
        <v/>
      </c>
      <c r="D225" t="s">
        <v>51</v>
      </c>
    </row>
    <row r="226" spans="1:4" x14ac:dyDescent="0.2">
      <c r="A226" t="s">
        <v>202</v>
      </c>
      <c r="B226" t="s">
        <v>36</v>
      </c>
      <c r="C226" t="str">
        <f t="shared" si="10"/>
        <v>Muscatine</v>
      </c>
      <c r="D226" t="s">
        <v>52</v>
      </c>
    </row>
    <row r="227" spans="1:4" x14ac:dyDescent="0.2">
      <c r="A227" t="s">
        <v>263</v>
      </c>
      <c r="B227" t="s">
        <v>37</v>
      </c>
      <c r="C227" t="str">
        <f t="shared" si="10"/>
        <v>Nanicoke</v>
      </c>
      <c r="D227" t="s">
        <v>313</v>
      </c>
    </row>
    <row r="228" spans="1:4" x14ac:dyDescent="0.2">
      <c r="A228" t="s">
        <v>457</v>
      </c>
      <c r="B228" t="s">
        <v>38</v>
      </c>
      <c r="C228" t="str">
        <f t="shared" si="10"/>
        <v/>
      </c>
      <c r="D228" t="s">
        <v>313</v>
      </c>
    </row>
    <row r="229" spans="1:4" x14ac:dyDescent="0.2">
      <c r="A229" t="s">
        <v>41</v>
      </c>
      <c r="B229" t="s">
        <v>256</v>
      </c>
      <c r="C229" t="str">
        <f t="shared" si="10"/>
        <v>Napa County</v>
      </c>
      <c r="D229" t="s">
        <v>53</v>
      </c>
    </row>
    <row r="230" spans="1:4" x14ac:dyDescent="0.2">
      <c r="A230" t="s">
        <v>138</v>
      </c>
      <c r="B230" t="s">
        <v>177</v>
      </c>
      <c r="C230" t="str">
        <f t="shared" si="10"/>
        <v>New Britain</v>
      </c>
      <c r="D230" t="s">
        <v>54</v>
      </c>
    </row>
    <row r="231" spans="1:4" x14ac:dyDescent="0.2">
      <c r="A231" t="s">
        <v>458</v>
      </c>
      <c r="B231" t="s">
        <v>131</v>
      </c>
      <c r="C231" t="str">
        <f t="shared" si="10"/>
        <v/>
      </c>
      <c r="D231" t="s">
        <v>55</v>
      </c>
    </row>
    <row r="232" spans="1:4" x14ac:dyDescent="0.2">
      <c r="A232" t="s">
        <v>140</v>
      </c>
      <c r="B232" t="s">
        <v>39</v>
      </c>
      <c r="C232" t="str">
        <f t="shared" si="10"/>
        <v>New Haven</v>
      </c>
      <c r="D232" t="s">
        <v>70</v>
      </c>
    </row>
    <row r="233" spans="1:4" x14ac:dyDescent="0.2">
      <c r="A233" t="s">
        <v>107</v>
      </c>
      <c r="B233" t="s">
        <v>200</v>
      </c>
      <c r="C233" t="str">
        <f t="shared" si="10"/>
        <v>New Hope</v>
      </c>
      <c r="D233" t="s">
        <v>70</v>
      </c>
    </row>
    <row r="234" spans="1:4" x14ac:dyDescent="0.2">
      <c r="A234" t="s">
        <v>459</v>
      </c>
      <c r="B234" t="s">
        <v>201</v>
      </c>
      <c r="C234" t="str">
        <f t="shared" si="10"/>
        <v/>
      </c>
      <c r="D234" t="s">
        <v>56</v>
      </c>
    </row>
    <row r="235" spans="1:4" x14ac:dyDescent="0.2">
      <c r="A235" t="s">
        <v>141</v>
      </c>
      <c r="B235" t="s">
        <v>257</v>
      </c>
      <c r="C235" t="str">
        <f t="shared" si="10"/>
        <v>New London</v>
      </c>
      <c r="D235" t="s">
        <v>57</v>
      </c>
    </row>
    <row r="236" spans="1:4" x14ac:dyDescent="0.2">
      <c r="A236" t="s">
        <v>142</v>
      </c>
      <c r="B236" t="s">
        <v>258</v>
      </c>
      <c r="C236" t="str">
        <f t="shared" si="10"/>
        <v>New Milford</v>
      </c>
      <c r="D236" t="s">
        <v>58</v>
      </c>
    </row>
    <row r="237" spans="1:4" x14ac:dyDescent="0.2">
      <c r="A237" t="s">
        <v>42</v>
      </c>
      <c r="B237" t="s">
        <v>135</v>
      </c>
      <c r="C237" t="str">
        <f t="shared" si="10"/>
        <v>Newhall</v>
      </c>
      <c r="D237" t="s">
        <v>59</v>
      </c>
    </row>
    <row r="238" spans="1:4" x14ac:dyDescent="0.2">
      <c r="A238" t="s">
        <v>301</v>
      </c>
      <c r="B238" t="s">
        <v>167</v>
      </c>
      <c r="C238" t="str">
        <f t="shared" si="10"/>
        <v>Nogales</v>
      </c>
      <c r="D238" t="s">
        <v>60</v>
      </c>
    </row>
    <row r="239" spans="1:4" x14ac:dyDescent="0.2">
      <c r="A239" t="s">
        <v>265</v>
      </c>
      <c r="B239" t="s">
        <v>136</v>
      </c>
      <c r="C239" t="str">
        <f t="shared" si="10"/>
        <v>Norristown</v>
      </c>
      <c r="D239" t="s">
        <v>61</v>
      </c>
    </row>
    <row r="240" spans="1:4" x14ac:dyDescent="0.2">
      <c r="A240" t="s">
        <v>266</v>
      </c>
      <c r="B240" t="s">
        <v>137</v>
      </c>
      <c r="C240" t="str">
        <f t="shared" si="10"/>
        <v>North Pittsburgh</v>
      </c>
      <c r="D240" t="s">
        <v>62</v>
      </c>
    </row>
    <row r="241" spans="1:4" x14ac:dyDescent="0.2">
      <c r="A241" t="s">
        <v>412</v>
      </c>
      <c r="B241" t="s">
        <v>105</v>
      </c>
      <c r="C241" t="str">
        <f t="shared" si="10"/>
        <v/>
      </c>
      <c r="D241" t="s">
        <v>63</v>
      </c>
    </row>
    <row r="242" spans="1:4" x14ac:dyDescent="0.2">
      <c r="A242" t="s">
        <v>143</v>
      </c>
      <c r="B242" t="s">
        <v>259</v>
      </c>
      <c r="C242" t="str">
        <f t="shared" ref="C242:C273" si="11">IF(ISERROR(MATCH(A242,D:D,0)),"",A242)</f>
        <v>Norwalk</v>
      </c>
      <c r="D242" t="s">
        <v>170</v>
      </c>
    </row>
    <row r="243" spans="1:4" x14ac:dyDescent="0.2">
      <c r="A243" t="s">
        <v>144</v>
      </c>
      <c r="B243" t="s">
        <v>260</v>
      </c>
      <c r="C243" t="str">
        <f t="shared" si="11"/>
        <v>Norwich</v>
      </c>
      <c r="D243" t="s">
        <v>178</v>
      </c>
    </row>
    <row r="244" spans="1:4" x14ac:dyDescent="0.2">
      <c r="A244" t="s">
        <v>93</v>
      </c>
      <c r="B244" t="s">
        <v>84</v>
      </c>
      <c r="C244" t="str">
        <f t="shared" si="11"/>
        <v>Novato</v>
      </c>
      <c r="D244" t="s">
        <v>148</v>
      </c>
    </row>
    <row r="245" spans="1:4" x14ac:dyDescent="0.2">
      <c r="A245" t="s">
        <v>94</v>
      </c>
      <c r="B245" t="s">
        <v>84</v>
      </c>
      <c r="C245" t="str">
        <f t="shared" si="11"/>
        <v>Oakland</v>
      </c>
      <c r="D245" t="s">
        <v>278</v>
      </c>
    </row>
    <row r="246" spans="1:4" x14ac:dyDescent="0.2">
      <c r="A246" t="s">
        <v>413</v>
      </c>
      <c r="B246" t="s">
        <v>106</v>
      </c>
      <c r="C246" t="str">
        <f t="shared" si="11"/>
        <v/>
      </c>
      <c r="D246" t="s">
        <v>64</v>
      </c>
    </row>
    <row r="247" spans="1:4" x14ac:dyDescent="0.2">
      <c r="A247" t="s">
        <v>43</v>
      </c>
      <c r="B247" t="s">
        <v>261</v>
      </c>
      <c r="C247" t="str">
        <f t="shared" si="11"/>
        <v>Ontario</v>
      </c>
      <c r="D247" t="s">
        <v>205</v>
      </c>
    </row>
    <row r="248" spans="1:4" x14ac:dyDescent="0.2">
      <c r="A248" t="s">
        <v>69</v>
      </c>
      <c r="B248" t="s">
        <v>40</v>
      </c>
      <c r="C248" t="str">
        <f t="shared" si="11"/>
        <v>Orange County</v>
      </c>
      <c r="D248" t="s">
        <v>205</v>
      </c>
    </row>
    <row r="249" spans="1:4" x14ac:dyDescent="0.2">
      <c r="A249" t="s">
        <v>168</v>
      </c>
      <c r="B249" t="s">
        <v>262</v>
      </c>
      <c r="C249" t="str">
        <f t="shared" si="11"/>
        <v>Orlando</v>
      </c>
      <c r="D249" t="s">
        <v>279</v>
      </c>
    </row>
    <row r="250" spans="1:4" x14ac:dyDescent="0.2">
      <c r="A250" t="s">
        <v>203</v>
      </c>
      <c r="B250" t="s">
        <v>202</v>
      </c>
      <c r="C250" t="str">
        <f t="shared" si="11"/>
        <v>Oskaloosa</v>
      </c>
      <c r="D250" t="s">
        <v>206</v>
      </c>
    </row>
    <row r="251" spans="1:4" x14ac:dyDescent="0.2">
      <c r="A251" t="s">
        <v>204</v>
      </c>
      <c r="B251" t="s">
        <v>263</v>
      </c>
      <c r="C251" t="str">
        <f t="shared" si="11"/>
        <v>Ottumwa</v>
      </c>
      <c r="D251" t="s">
        <v>206</v>
      </c>
    </row>
    <row r="252" spans="1:4" x14ac:dyDescent="0.2">
      <c r="A252" t="s">
        <v>44</v>
      </c>
      <c r="B252" t="s">
        <v>41</v>
      </c>
      <c r="C252" t="str">
        <f t="shared" si="11"/>
        <v>Oxnard</v>
      </c>
      <c r="D252" t="s">
        <v>65</v>
      </c>
    </row>
    <row r="253" spans="1:4" x14ac:dyDescent="0.2">
      <c r="A253" t="s">
        <v>45</v>
      </c>
      <c r="B253" t="s">
        <v>138</v>
      </c>
      <c r="C253" t="str">
        <f t="shared" si="11"/>
        <v>Palm Springs</v>
      </c>
      <c r="D253" t="s">
        <v>66</v>
      </c>
    </row>
    <row r="254" spans="1:4" x14ac:dyDescent="0.2">
      <c r="A254" t="s">
        <v>46</v>
      </c>
      <c r="B254" t="s">
        <v>140</v>
      </c>
      <c r="C254" t="str">
        <f t="shared" si="11"/>
        <v>Palmdale</v>
      </c>
      <c r="D254" t="s">
        <v>281</v>
      </c>
    </row>
    <row r="255" spans="1:4" x14ac:dyDescent="0.2">
      <c r="A255" t="s">
        <v>47</v>
      </c>
      <c r="B255" t="s">
        <v>107</v>
      </c>
      <c r="C255" t="str">
        <f t="shared" si="11"/>
        <v>Palo Alto</v>
      </c>
      <c r="D255" t="s">
        <v>171</v>
      </c>
    </row>
    <row r="256" spans="1:4" x14ac:dyDescent="0.2">
      <c r="A256" t="s">
        <v>311</v>
      </c>
      <c r="B256" t="s">
        <v>264</v>
      </c>
      <c r="C256" t="str">
        <f t="shared" si="11"/>
        <v>Paris</v>
      </c>
      <c r="D256" t="s">
        <v>150</v>
      </c>
    </row>
    <row r="257" spans="1:4" x14ac:dyDescent="0.2">
      <c r="A257" t="s">
        <v>169</v>
      </c>
      <c r="B257" t="s">
        <v>141</v>
      </c>
      <c r="C257" t="str">
        <f t="shared" si="11"/>
        <v>Pensacola</v>
      </c>
      <c r="D257" t="s">
        <v>67</v>
      </c>
    </row>
    <row r="258" spans="1:4" x14ac:dyDescent="0.2">
      <c r="A258" t="s">
        <v>267</v>
      </c>
      <c r="B258" t="s">
        <v>142</v>
      </c>
      <c r="C258" t="str">
        <f t="shared" si="11"/>
        <v>Philadelphia</v>
      </c>
      <c r="D258" t="s">
        <v>207</v>
      </c>
    </row>
    <row r="259" spans="1:4" x14ac:dyDescent="0.2">
      <c r="A259" t="s">
        <v>461</v>
      </c>
      <c r="B259" t="s">
        <v>42</v>
      </c>
      <c r="C259" t="str">
        <f t="shared" si="11"/>
        <v/>
      </c>
      <c r="D259" t="s">
        <v>172</v>
      </c>
    </row>
    <row r="260" spans="1:4" x14ac:dyDescent="0.2">
      <c r="A260" t="s">
        <v>268</v>
      </c>
      <c r="B260" t="s">
        <v>301</v>
      </c>
      <c r="C260" t="str">
        <f t="shared" si="11"/>
        <v>Phillipsburg</v>
      </c>
      <c r="D260" t="s">
        <v>151</v>
      </c>
    </row>
    <row r="261" spans="1:4" x14ac:dyDescent="0.2">
      <c r="A261" t="s">
        <v>462</v>
      </c>
      <c r="B261" t="s">
        <v>265</v>
      </c>
      <c r="C261" t="s">
        <v>269</v>
      </c>
      <c r="D261" t="s">
        <v>282</v>
      </c>
    </row>
    <row r="262" spans="1:4" x14ac:dyDescent="0.2">
      <c r="A262" t="s">
        <v>117</v>
      </c>
      <c r="B262" t="s">
        <v>266</v>
      </c>
      <c r="C262" t="str">
        <f>IF(ISERROR(MATCH(A262,D:D,0)),"",A262)</f>
        <v>Phoenix</v>
      </c>
      <c r="D262" t="s">
        <v>283</v>
      </c>
    </row>
    <row r="263" spans="1:4" x14ac:dyDescent="0.2">
      <c r="A263" t="s">
        <v>366</v>
      </c>
      <c r="B263" t="s">
        <v>143</v>
      </c>
      <c r="C263" t="s">
        <v>117</v>
      </c>
      <c r="D263" t="s">
        <v>116</v>
      </c>
    </row>
    <row r="264" spans="1:4" x14ac:dyDescent="0.2">
      <c r="A264" t="s">
        <v>269</v>
      </c>
      <c r="B264" t="s">
        <v>144</v>
      </c>
      <c r="C264" t="str">
        <f>IF(ISERROR(MATCH(A264,D:D,0)),"",A264)</f>
        <v>Phoenixville</v>
      </c>
      <c r="D264" t="s">
        <v>327</v>
      </c>
    </row>
    <row r="265" spans="1:4" x14ac:dyDescent="0.2">
      <c r="A265" t="s">
        <v>379</v>
      </c>
      <c r="B265" t="s">
        <v>93</v>
      </c>
      <c r="C265" t="str">
        <f>IF(ISERROR(MATCH(A265,D:D,0)),"",A265)</f>
        <v/>
      </c>
      <c r="D265" t="s">
        <v>285</v>
      </c>
    </row>
    <row r="266" spans="1:4" x14ac:dyDescent="0.2">
      <c r="A266" t="s">
        <v>312</v>
      </c>
      <c r="B266" t="s">
        <v>94</v>
      </c>
      <c r="C266" t="str">
        <f>IF(ISERROR(MATCH(A266,D:D,0)),"",A266)</f>
        <v>Pine Bluff</v>
      </c>
      <c r="D266" t="s">
        <v>306</v>
      </c>
    </row>
    <row r="267" spans="1:4" x14ac:dyDescent="0.2">
      <c r="A267" t="s">
        <v>271</v>
      </c>
      <c r="B267" t="s">
        <v>43</v>
      </c>
      <c r="C267" t="str">
        <f>IF(ISERROR(MATCH(A267,D:D,0)),"",A267)</f>
        <v>Pittsburgh</v>
      </c>
      <c r="D267" t="s">
        <v>286</v>
      </c>
    </row>
    <row r="268" spans="1:4" x14ac:dyDescent="0.2">
      <c r="A268" t="s">
        <v>463</v>
      </c>
      <c r="B268" t="s">
        <v>69</v>
      </c>
      <c r="C268" t="s">
        <v>271</v>
      </c>
      <c r="D268" t="s">
        <v>182</v>
      </c>
    </row>
    <row r="269" spans="1:4" x14ac:dyDescent="0.2">
      <c r="A269" t="s">
        <v>273</v>
      </c>
      <c r="B269" t="s">
        <v>69</v>
      </c>
      <c r="C269" t="str">
        <f>IF(ISERROR(MATCH(A269,D:D,0)),"",A269)</f>
        <v>Pittsburgh North Suburban</v>
      </c>
      <c r="D269" t="s">
        <v>289</v>
      </c>
    </row>
    <row r="270" spans="1:4" x14ac:dyDescent="0.2">
      <c r="A270" t="s">
        <v>466</v>
      </c>
      <c r="B270" t="s">
        <v>168</v>
      </c>
      <c r="C270" t="s">
        <v>474</v>
      </c>
      <c r="D270" t="s">
        <v>288</v>
      </c>
    </row>
    <row r="271" spans="1:4" x14ac:dyDescent="0.2">
      <c r="A271" t="s">
        <v>467</v>
      </c>
      <c r="B271" t="s">
        <v>203</v>
      </c>
      <c r="C271" t="s">
        <v>271</v>
      </c>
      <c r="D271" t="s">
        <v>221</v>
      </c>
    </row>
    <row r="272" spans="1:4" x14ac:dyDescent="0.2">
      <c r="A272" t="s">
        <v>274</v>
      </c>
      <c r="B272" t="s">
        <v>204</v>
      </c>
      <c r="C272" t="s">
        <v>274</v>
      </c>
      <c r="D272" t="s">
        <v>356</v>
      </c>
    </row>
    <row r="273" spans="1:4" x14ac:dyDescent="0.2">
      <c r="A273" t="s">
        <v>48</v>
      </c>
      <c r="B273" t="s">
        <v>44</v>
      </c>
      <c r="C273" t="str">
        <f t="shared" ref="C273:C285" si="12">IF(ISERROR(MATCH(A273,D:D,0)),"",A273)</f>
        <v>Pomona</v>
      </c>
      <c r="D273" t="s">
        <v>153</v>
      </c>
    </row>
    <row r="274" spans="1:4" x14ac:dyDescent="0.2">
      <c r="A274" t="s">
        <v>469</v>
      </c>
      <c r="B274" t="s">
        <v>45</v>
      </c>
      <c r="C274" t="str">
        <f t="shared" si="12"/>
        <v/>
      </c>
      <c r="D274" t="s">
        <v>208</v>
      </c>
    </row>
    <row r="275" spans="1:4" x14ac:dyDescent="0.2">
      <c r="A275" t="s">
        <v>470</v>
      </c>
      <c r="B275" t="s">
        <v>46</v>
      </c>
      <c r="C275" t="str">
        <f t="shared" si="12"/>
        <v/>
      </c>
      <c r="D275" t="s">
        <v>290</v>
      </c>
    </row>
    <row r="276" spans="1:4" x14ac:dyDescent="0.2">
      <c r="A276" t="s">
        <v>146</v>
      </c>
      <c r="B276" t="s">
        <v>47</v>
      </c>
      <c r="C276" t="str">
        <f t="shared" si="12"/>
        <v>Putnam</v>
      </c>
      <c r="D276" t="s">
        <v>292</v>
      </c>
    </row>
    <row r="277" spans="1:4" x14ac:dyDescent="0.2">
      <c r="A277" t="s">
        <v>276</v>
      </c>
      <c r="B277" t="s">
        <v>311</v>
      </c>
      <c r="C277" t="str">
        <f t="shared" si="12"/>
        <v>Quarryville</v>
      </c>
      <c r="D277" t="s">
        <v>209</v>
      </c>
    </row>
    <row r="278" spans="1:4" x14ac:dyDescent="0.2">
      <c r="A278" t="s">
        <v>277</v>
      </c>
      <c r="B278" t="s">
        <v>169</v>
      </c>
      <c r="C278" t="str">
        <f t="shared" si="12"/>
        <v>Reading</v>
      </c>
      <c r="D278" t="s">
        <v>314</v>
      </c>
    </row>
    <row r="279" spans="1:4" x14ac:dyDescent="0.2">
      <c r="A279" t="s">
        <v>49</v>
      </c>
      <c r="B279" t="s">
        <v>267</v>
      </c>
      <c r="C279" t="str">
        <f t="shared" si="12"/>
        <v>Redlands</v>
      </c>
      <c r="D279" t="s">
        <v>173</v>
      </c>
    </row>
    <row r="280" spans="1:4" x14ac:dyDescent="0.2">
      <c r="A280" t="s">
        <v>50</v>
      </c>
      <c r="B280" t="s">
        <v>268</v>
      </c>
      <c r="C280" t="str">
        <f t="shared" si="12"/>
        <v>Richmond</v>
      </c>
      <c r="D280" t="s">
        <v>293</v>
      </c>
    </row>
    <row r="281" spans="1:4" x14ac:dyDescent="0.2">
      <c r="A281" t="s">
        <v>219</v>
      </c>
      <c r="B281" t="s">
        <v>117</v>
      </c>
      <c r="C281" t="str">
        <f t="shared" si="12"/>
        <v>Rising Sun</v>
      </c>
      <c r="D281" t="s">
        <v>222</v>
      </c>
    </row>
    <row r="282" spans="1:4" x14ac:dyDescent="0.2">
      <c r="A282" t="s">
        <v>51</v>
      </c>
      <c r="B282" t="s">
        <v>269</v>
      </c>
      <c r="C282" t="str">
        <f t="shared" si="12"/>
        <v>Riverside</v>
      </c>
      <c r="D282" t="s">
        <v>294</v>
      </c>
    </row>
    <row r="283" spans="1:4" x14ac:dyDescent="0.2">
      <c r="A283" t="s">
        <v>52</v>
      </c>
      <c r="B283" t="s">
        <v>312</v>
      </c>
      <c r="C283" t="str">
        <f t="shared" si="12"/>
        <v>Roseville</v>
      </c>
      <c r="D283" t="s">
        <v>154</v>
      </c>
    </row>
    <row r="284" spans="1:4" x14ac:dyDescent="0.2">
      <c r="A284" t="s">
        <v>313</v>
      </c>
      <c r="B284" t="s">
        <v>271</v>
      </c>
      <c r="C284" t="str">
        <f t="shared" si="12"/>
        <v>Russellville</v>
      </c>
      <c r="D284" t="s">
        <v>155</v>
      </c>
    </row>
    <row r="285" spans="1:4" x14ac:dyDescent="0.2">
      <c r="A285" t="s">
        <v>53</v>
      </c>
      <c r="B285" t="s">
        <v>273</v>
      </c>
      <c r="C285" t="str">
        <f t="shared" si="12"/>
        <v>Sacramento</v>
      </c>
      <c r="D285" t="s">
        <v>95</v>
      </c>
    </row>
    <row r="286" spans="1:4" x14ac:dyDescent="0.2">
      <c r="A286" t="s">
        <v>390</v>
      </c>
      <c r="B286" t="s">
        <v>274</v>
      </c>
      <c r="C286" t="s">
        <v>59</v>
      </c>
      <c r="D286" t="s">
        <v>296</v>
      </c>
    </row>
    <row r="287" spans="1:4" x14ac:dyDescent="0.2">
      <c r="A287" t="s">
        <v>54</v>
      </c>
      <c r="B287" t="s">
        <v>48</v>
      </c>
      <c r="C287" t="str">
        <f t="shared" ref="C287:C295" si="13">IF(ISERROR(MATCH(A287,D:D,0)),"",A287)</f>
        <v>San Bernardino</v>
      </c>
      <c r="D287" t="s">
        <v>297</v>
      </c>
    </row>
    <row r="288" spans="1:4" x14ac:dyDescent="0.2">
      <c r="A288" t="s">
        <v>55</v>
      </c>
      <c r="B288" t="s">
        <v>146</v>
      </c>
      <c r="C288" t="str">
        <f t="shared" si="13"/>
        <v>San Diego County</v>
      </c>
    </row>
    <row r="289" spans="1:3" x14ac:dyDescent="0.2">
      <c r="A289" t="s">
        <v>70</v>
      </c>
      <c r="B289" t="s">
        <v>276</v>
      </c>
      <c r="C289" t="str">
        <f t="shared" si="13"/>
        <v>San Francisco</v>
      </c>
    </row>
    <row r="290" spans="1:3" x14ac:dyDescent="0.2">
      <c r="A290" t="s">
        <v>56</v>
      </c>
      <c r="B290" t="s">
        <v>218</v>
      </c>
      <c r="C290" t="str">
        <f t="shared" si="13"/>
        <v>San Jose</v>
      </c>
    </row>
    <row r="291" spans="1:3" x14ac:dyDescent="0.2">
      <c r="A291" t="s">
        <v>57</v>
      </c>
      <c r="B291" t="s">
        <v>277</v>
      </c>
      <c r="C291" t="str">
        <f t="shared" si="13"/>
        <v>San Luis Obispo County</v>
      </c>
    </row>
    <row r="292" spans="1:3" x14ac:dyDescent="0.2">
      <c r="A292" t="s">
        <v>58</v>
      </c>
      <c r="B292" t="s">
        <v>49</v>
      </c>
      <c r="C292" t="str">
        <f t="shared" si="13"/>
        <v>San Mateo County</v>
      </c>
    </row>
    <row r="293" spans="1:3" x14ac:dyDescent="0.2">
      <c r="A293" t="s">
        <v>59</v>
      </c>
      <c r="B293" t="s">
        <v>50</v>
      </c>
      <c r="C293" t="str">
        <f t="shared" si="13"/>
        <v>Santa Barbara</v>
      </c>
    </row>
    <row r="294" spans="1:3" x14ac:dyDescent="0.2">
      <c r="A294" t="s">
        <v>60</v>
      </c>
      <c r="B294" t="s">
        <v>219</v>
      </c>
      <c r="C294" t="str">
        <f t="shared" si="13"/>
        <v>Santa Cruz County</v>
      </c>
    </row>
    <row r="295" spans="1:3" x14ac:dyDescent="0.2">
      <c r="A295" t="s">
        <v>61</v>
      </c>
      <c r="B295" t="s">
        <v>51</v>
      </c>
      <c r="C295" t="str">
        <f t="shared" si="13"/>
        <v>Santa Maria</v>
      </c>
    </row>
    <row r="296" spans="1:3" x14ac:dyDescent="0.2">
      <c r="A296" t="s">
        <v>391</v>
      </c>
      <c r="B296" t="s">
        <v>52</v>
      </c>
      <c r="C296" t="s">
        <v>34</v>
      </c>
    </row>
    <row r="297" spans="1:3" x14ac:dyDescent="0.2">
      <c r="A297" t="s">
        <v>62</v>
      </c>
      <c r="B297" t="s">
        <v>313</v>
      </c>
      <c r="C297" t="str">
        <f t="shared" ref="C297:C314" si="14">IF(ISERROR(MATCH(A297,D:D,0)),"",A297)</f>
        <v>Santa Paula</v>
      </c>
    </row>
    <row r="298" spans="1:3" x14ac:dyDescent="0.2">
      <c r="A298" t="s">
        <v>63</v>
      </c>
      <c r="B298" t="s">
        <v>313</v>
      </c>
      <c r="C298" t="str">
        <f t="shared" si="14"/>
        <v>Santa Ynez</v>
      </c>
    </row>
    <row r="299" spans="1:3" x14ac:dyDescent="0.2">
      <c r="A299" t="s">
        <v>170</v>
      </c>
      <c r="B299" t="s">
        <v>53</v>
      </c>
      <c r="C299" t="str">
        <f t="shared" si="14"/>
        <v>Sarasota</v>
      </c>
    </row>
    <row r="300" spans="1:3" x14ac:dyDescent="0.2">
      <c r="A300" t="s">
        <v>178</v>
      </c>
      <c r="B300" t="s">
        <v>54</v>
      </c>
      <c r="C300" t="str">
        <f t="shared" si="14"/>
        <v>Savannah</v>
      </c>
    </row>
    <row r="301" spans="1:3" x14ac:dyDescent="0.2">
      <c r="A301" t="s">
        <v>148</v>
      </c>
      <c r="B301" t="s">
        <v>55</v>
      </c>
      <c r="C301" t="str">
        <f t="shared" si="14"/>
        <v>Saybrook</v>
      </c>
    </row>
    <row r="302" spans="1:3" x14ac:dyDescent="0.2">
      <c r="A302" t="s">
        <v>278</v>
      </c>
      <c r="B302" t="s">
        <v>70</v>
      </c>
      <c r="C302" t="str">
        <f t="shared" si="14"/>
        <v>Scranton</v>
      </c>
    </row>
    <row r="303" spans="1:3" x14ac:dyDescent="0.2">
      <c r="A303" t="s">
        <v>64</v>
      </c>
      <c r="B303" t="s">
        <v>70</v>
      </c>
      <c r="C303" t="str">
        <f t="shared" si="14"/>
        <v>Shasta County</v>
      </c>
    </row>
    <row r="304" spans="1:3" x14ac:dyDescent="0.2">
      <c r="A304" t="s">
        <v>205</v>
      </c>
      <c r="B304" t="s">
        <v>56</v>
      </c>
      <c r="C304" t="str">
        <f t="shared" si="14"/>
        <v>Shenandoah</v>
      </c>
    </row>
    <row r="305" spans="1:3" x14ac:dyDescent="0.2">
      <c r="A305" t="s">
        <v>471</v>
      </c>
      <c r="B305" t="s">
        <v>57</v>
      </c>
      <c r="C305" t="str">
        <f t="shared" si="14"/>
        <v/>
      </c>
    </row>
    <row r="306" spans="1:3" x14ac:dyDescent="0.2">
      <c r="A306" t="s">
        <v>279</v>
      </c>
      <c r="B306" t="s">
        <v>58</v>
      </c>
      <c r="C306" t="str">
        <f t="shared" si="14"/>
        <v>Shickshinny</v>
      </c>
    </row>
    <row r="307" spans="1:3" x14ac:dyDescent="0.2">
      <c r="A307" t="s">
        <v>392</v>
      </c>
      <c r="B307" t="s">
        <v>59</v>
      </c>
      <c r="C307" t="str">
        <f t="shared" si="14"/>
        <v/>
      </c>
    </row>
    <row r="308" spans="1:3" x14ac:dyDescent="0.2">
      <c r="A308" t="s">
        <v>206</v>
      </c>
      <c r="B308" t="s">
        <v>60</v>
      </c>
      <c r="C308" t="str">
        <f t="shared" si="14"/>
        <v>Sioux City</v>
      </c>
    </row>
    <row r="309" spans="1:3" x14ac:dyDescent="0.2">
      <c r="A309" t="s">
        <v>426</v>
      </c>
      <c r="B309" t="s">
        <v>61</v>
      </c>
      <c r="C309" t="str">
        <f t="shared" si="14"/>
        <v/>
      </c>
    </row>
    <row r="310" spans="1:3" x14ac:dyDescent="0.2">
      <c r="A310" t="s">
        <v>472</v>
      </c>
      <c r="B310" t="s">
        <v>62</v>
      </c>
      <c r="C310" t="str">
        <f t="shared" si="14"/>
        <v/>
      </c>
    </row>
    <row r="311" spans="1:3" x14ac:dyDescent="0.2">
      <c r="A311" t="s">
        <v>65</v>
      </c>
      <c r="B311" t="s">
        <v>63</v>
      </c>
      <c r="C311" t="str">
        <f t="shared" si="14"/>
        <v>Sonoma County</v>
      </c>
    </row>
    <row r="312" spans="1:3" x14ac:dyDescent="0.2">
      <c r="A312" t="s">
        <v>66</v>
      </c>
      <c r="B312" t="s">
        <v>170</v>
      </c>
      <c r="C312" t="str">
        <f t="shared" si="14"/>
        <v>Southern Alameda County</v>
      </c>
    </row>
    <row r="313" spans="1:3" x14ac:dyDescent="0.2">
      <c r="A313" t="s">
        <v>281</v>
      </c>
      <c r="B313" t="s">
        <v>178</v>
      </c>
      <c r="C313" t="str">
        <f t="shared" si="14"/>
        <v>Southern Chester County</v>
      </c>
    </row>
    <row r="314" spans="1:3" x14ac:dyDescent="0.2">
      <c r="A314" t="s">
        <v>427</v>
      </c>
      <c r="B314" t="s">
        <v>148</v>
      </c>
      <c r="C314" t="str">
        <f t="shared" si="14"/>
        <v/>
      </c>
    </row>
    <row r="315" spans="1:3" x14ac:dyDescent="0.2">
      <c r="A315" t="s">
        <v>434</v>
      </c>
      <c r="B315" t="s">
        <v>278</v>
      </c>
      <c r="C315" t="s">
        <v>171</v>
      </c>
    </row>
    <row r="316" spans="1:3" x14ac:dyDescent="0.2">
      <c r="A316" t="s">
        <v>150</v>
      </c>
      <c r="B316" t="s">
        <v>64</v>
      </c>
      <c r="C316" t="str">
        <f>IF(ISERROR(MATCH(A316,D:D,0)),"",A316)</f>
        <v>Stamford</v>
      </c>
    </row>
    <row r="317" spans="1:3" x14ac:dyDescent="0.2">
      <c r="A317" t="s">
        <v>67</v>
      </c>
      <c r="B317" t="s">
        <v>205</v>
      </c>
      <c r="C317" t="str">
        <f>IF(ISERROR(MATCH(A317,D:D,0)),"",A317)</f>
        <v>Stanislaus County</v>
      </c>
    </row>
    <row r="318" spans="1:3" x14ac:dyDescent="0.2">
      <c r="A318" t="s">
        <v>207</v>
      </c>
      <c r="B318" t="s">
        <v>205</v>
      </c>
      <c r="C318" t="str">
        <f>IF(ISERROR(MATCH(A318,D:D,0)),"",A318)</f>
        <v>Storm Lake</v>
      </c>
    </row>
    <row r="319" spans="1:3" x14ac:dyDescent="0.2">
      <c r="A319" t="s">
        <v>460</v>
      </c>
      <c r="B319" t="s">
        <v>279</v>
      </c>
      <c r="C319" t="s">
        <v>267</v>
      </c>
    </row>
    <row r="320" spans="1:3" x14ac:dyDescent="0.2">
      <c r="A320" t="s">
        <v>442</v>
      </c>
      <c r="B320" t="s">
        <v>206</v>
      </c>
      <c r="C320" t="str">
        <f t="shared" ref="C320:C343" si="15">IF(ISERROR(MATCH(A320,D:D,0)),"",A320)</f>
        <v/>
      </c>
    </row>
    <row r="321" spans="1:3" x14ac:dyDescent="0.2">
      <c r="A321" t="s">
        <v>172</v>
      </c>
      <c r="B321" t="s">
        <v>206</v>
      </c>
      <c r="C321" t="str">
        <f t="shared" si="15"/>
        <v>Tampa</v>
      </c>
    </row>
    <row r="322" spans="1:3" x14ac:dyDescent="0.2">
      <c r="A322" t="s">
        <v>425</v>
      </c>
      <c r="B322" t="s">
        <v>65</v>
      </c>
      <c r="C322" t="str">
        <f t="shared" si="15"/>
        <v/>
      </c>
    </row>
    <row r="323" spans="1:3" x14ac:dyDescent="0.2">
      <c r="A323" t="s">
        <v>151</v>
      </c>
      <c r="B323" t="s">
        <v>66</v>
      </c>
      <c r="C323" t="str">
        <f t="shared" si="15"/>
        <v>Torrington</v>
      </c>
    </row>
    <row r="324" spans="1:3" x14ac:dyDescent="0.2">
      <c r="A324" t="s">
        <v>282</v>
      </c>
      <c r="B324" t="s">
        <v>281</v>
      </c>
      <c r="C324" t="str">
        <f t="shared" si="15"/>
        <v>Towanda</v>
      </c>
    </row>
    <row r="325" spans="1:3" x14ac:dyDescent="0.2">
      <c r="A325" t="s">
        <v>283</v>
      </c>
      <c r="B325" t="s">
        <v>171</v>
      </c>
      <c r="C325" t="str">
        <f t="shared" si="15"/>
        <v>Tower City</v>
      </c>
    </row>
    <row r="326" spans="1:3" x14ac:dyDescent="0.2">
      <c r="A326" t="s">
        <v>415</v>
      </c>
      <c r="B326" t="s">
        <v>150</v>
      </c>
      <c r="C326" t="str">
        <f t="shared" si="15"/>
        <v/>
      </c>
    </row>
    <row r="327" spans="1:3" x14ac:dyDescent="0.2">
      <c r="A327" t="s">
        <v>116</v>
      </c>
      <c r="B327" t="s">
        <v>67</v>
      </c>
      <c r="C327" t="str">
        <f t="shared" si="15"/>
        <v>Tucson</v>
      </c>
    </row>
    <row r="328" spans="1:3" x14ac:dyDescent="0.2">
      <c r="A328" t="s">
        <v>327</v>
      </c>
      <c r="B328" t="s">
        <v>207</v>
      </c>
      <c r="C328" t="str">
        <f t="shared" si="15"/>
        <v>Tuscaloosa</v>
      </c>
    </row>
    <row r="329" spans="1:3" x14ac:dyDescent="0.2">
      <c r="A329" t="s">
        <v>285</v>
      </c>
      <c r="B329" t="s">
        <v>172</v>
      </c>
      <c r="C329" t="str">
        <f t="shared" si="15"/>
        <v>Tyrone</v>
      </c>
    </row>
    <row r="330" spans="1:3" x14ac:dyDescent="0.2">
      <c r="A330" t="s">
        <v>286</v>
      </c>
      <c r="B330" t="s">
        <v>151</v>
      </c>
      <c r="C330" t="str">
        <f t="shared" si="15"/>
        <v>Vandergrift</v>
      </c>
    </row>
    <row r="331" spans="1:3" x14ac:dyDescent="0.2">
      <c r="A331" t="s">
        <v>182</v>
      </c>
      <c r="B331" t="s">
        <v>282</v>
      </c>
      <c r="C331" t="str">
        <f t="shared" si="15"/>
        <v>Wailuku</v>
      </c>
    </row>
    <row r="332" spans="1:3" x14ac:dyDescent="0.2">
      <c r="A332" t="s">
        <v>288</v>
      </c>
      <c r="B332" t="s">
        <v>283</v>
      </c>
      <c r="C332" t="str">
        <f t="shared" si="15"/>
        <v>Warren</v>
      </c>
    </row>
    <row r="333" spans="1:3" x14ac:dyDescent="0.2">
      <c r="A333" t="s">
        <v>464</v>
      </c>
      <c r="B333" t="s">
        <v>116</v>
      </c>
      <c r="C333" t="str">
        <f t="shared" si="15"/>
        <v/>
      </c>
    </row>
    <row r="334" spans="1:3" x14ac:dyDescent="0.2">
      <c r="A334" t="s">
        <v>221</v>
      </c>
      <c r="B334" t="s">
        <v>327</v>
      </c>
      <c r="C334" t="str">
        <f t="shared" si="15"/>
        <v>Washington County</v>
      </c>
    </row>
    <row r="335" spans="1:3" x14ac:dyDescent="0.2">
      <c r="A335" t="s">
        <v>407</v>
      </c>
      <c r="B335" t="s">
        <v>285</v>
      </c>
      <c r="C335" t="str">
        <f t="shared" si="15"/>
        <v/>
      </c>
    </row>
    <row r="336" spans="1:3" x14ac:dyDescent="0.2">
      <c r="A336" t="s">
        <v>153</v>
      </c>
      <c r="B336" t="s">
        <v>306</v>
      </c>
      <c r="C336" t="str">
        <f t="shared" si="15"/>
        <v>Waterbury</v>
      </c>
    </row>
    <row r="337" spans="1:3" x14ac:dyDescent="0.2">
      <c r="A337" t="s">
        <v>208</v>
      </c>
      <c r="B337" t="s">
        <v>286</v>
      </c>
      <c r="C337" t="str">
        <f t="shared" si="15"/>
        <v>Waterloo</v>
      </c>
    </row>
    <row r="338" spans="1:3" x14ac:dyDescent="0.2">
      <c r="A338" t="s">
        <v>290</v>
      </c>
      <c r="B338" t="s">
        <v>182</v>
      </c>
      <c r="C338" t="str">
        <f t="shared" si="15"/>
        <v>Waynesboro</v>
      </c>
    </row>
    <row r="339" spans="1:3" x14ac:dyDescent="0.2">
      <c r="A339" t="s">
        <v>292</v>
      </c>
      <c r="B339" t="s">
        <v>289</v>
      </c>
      <c r="C339" t="str">
        <f t="shared" si="15"/>
        <v>Waynesburg</v>
      </c>
    </row>
    <row r="340" spans="1:3" x14ac:dyDescent="0.2">
      <c r="A340" t="s">
        <v>209</v>
      </c>
      <c r="B340" t="s">
        <v>288</v>
      </c>
      <c r="C340" t="str">
        <f t="shared" si="15"/>
        <v>Webster City</v>
      </c>
    </row>
    <row r="341" spans="1:3" x14ac:dyDescent="0.2">
      <c r="A341" t="s">
        <v>465</v>
      </c>
      <c r="B341" t="s">
        <v>221</v>
      </c>
      <c r="C341" t="str">
        <f t="shared" si="15"/>
        <v/>
      </c>
    </row>
    <row r="342" spans="1:3" x14ac:dyDescent="0.2">
      <c r="A342" t="s">
        <v>314</v>
      </c>
      <c r="B342" t="s">
        <v>356</v>
      </c>
      <c r="C342" t="str">
        <f t="shared" si="15"/>
        <v>West Memphis</v>
      </c>
    </row>
    <row r="343" spans="1:3" x14ac:dyDescent="0.2">
      <c r="A343" t="s">
        <v>173</v>
      </c>
      <c r="B343" t="s">
        <v>153</v>
      </c>
      <c r="C343" t="str">
        <f t="shared" si="15"/>
        <v>West Palm Beach</v>
      </c>
    </row>
    <row r="344" spans="1:3" x14ac:dyDescent="0.2">
      <c r="A344" t="s">
        <v>448</v>
      </c>
      <c r="B344" t="s">
        <v>208</v>
      </c>
      <c r="C344" t="s">
        <v>173</v>
      </c>
    </row>
    <row r="345" spans="1:3" x14ac:dyDescent="0.2">
      <c r="A345" t="s">
        <v>293</v>
      </c>
      <c r="B345" t="s">
        <v>290</v>
      </c>
      <c r="C345" t="str">
        <f t="shared" ref="C345:C359" si="16">IF(ISERROR(MATCH(A345,D:D,0)),"",A345)</f>
        <v>Western Delaware County</v>
      </c>
    </row>
    <row r="346" spans="1:3" x14ac:dyDescent="0.2">
      <c r="A346" t="s">
        <v>468</v>
      </c>
      <c r="B346" t="s">
        <v>292</v>
      </c>
      <c r="C346" t="str">
        <f t="shared" si="16"/>
        <v/>
      </c>
    </row>
    <row r="347" spans="1:3" x14ac:dyDescent="0.2">
      <c r="A347" t="s">
        <v>222</v>
      </c>
      <c r="B347" t="s">
        <v>209</v>
      </c>
      <c r="C347" t="str">
        <f t="shared" si="16"/>
        <v>Westminster</v>
      </c>
    </row>
    <row r="348" spans="1:3" x14ac:dyDescent="0.2">
      <c r="A348" t="s">
        <v>414</v>
      </c>
      <c r="B348" t="s">
        <v>314</v>
      </c>
      <c r="C348" t="str">
        <f t="shared" si="16"/>
        <v/>
      </c>
    </row>
    <row r="349" spans="1:3" x14ac:dyDescent="0.2">
      <c r="A349" t="s">
        <v>294</v>
      </c>
      <c r="B349" t="s">
        <v>173</v>
      </c>
      <c r="C349" t="str">
        <f t="shared" si="16"/>
        <v>Williamsport</v>
      </c>
    </row>
    <row r="350" spans="1:3" x14ac:dyDescent="0.2">
      <c r="A350" t="s">
        <v>154</v>
      </c>
      <c r="B350" t="s">
        <v>293</v>
      </c>
      <c r="C350" t="str">
        <f t="shared" si="16"/>
        <v>Willimantic</v>
      </c>
    </row>
    <row r="351" spans="1:3" x14ac:dyDescent="0.2">
      <c r="A351" t="s">
        <v>155</v>
      </c>
      <c r="B351" t="s">
        <v>222</v>
      </c>
      <c r="C351" t="str">
        <f t="shared" si="16"/>
        <v>Wilmington</v>
      </c>
    </row>
    <row r="352" spans="1:3" x14ac:dyDescent="0.2">
      <c r="A352" t="s">
        <v>404</v>
      </c>
      <c r="B352" t="s">
        <v>294</v>
      </c>
      <c r="C352" t="str">
        <f t="shared" si="16"/>
        <v/>
      </c>
    </row>
    <row r="353" spans="1:3" x14ac:dyDescent="0.2">
      <c r="A353" t="s">
        <v>406</v>
      </c>
      <c r="B353" t="s">
        <v>154</v>
      </c>
      <c r="C353" t="str">
        <f t="shared" si="16"/>
        <v/>
      </c>
    </row>
    <row r="354" spans="1:3" x14ac:dyDescent="0.2">
      <c r="A354" t="s">
        <v>443</v>
      </c>
      <c r="B354" t="s">
        <v>155</v>
      </c>
      <c r="C354" t="str">
        <f t="shared" si="16"/>
        <v/>
      </c>
    </row>
    <row r="355" spans="1:3" x14ac:dyDescent="0.2">
      <c r="A355" t="s">
        <v>95</v>
      </c>
      <c r="B355" t="s">
        <v>95</v>
      </c>
      <c r="C355" t="str">
        <f t="shared" si="16"/>
        <v>Yolo County</v>
      </c>
    </row>
    <row r="356" spans="1:3" x14ac:dyDescent="0.2">
      <c r="A356" t="s">
        <v>296</v>
      </c>
      <c r="B356" t="s">
        <v>296</v>
      </c>
      <c r="C356" t="str">
        <f t="shared" si="16"/>
        <v>York</v>
      </c>
    </row>
    <row r="357" spans="1:3" x14ac:dyDescent="0.2">
      <c r="A357" t="s">
        <v>367</v>
      </c>
      <c r="C357" t="str">
        <f t="shared" si="16"/>
        <v/>
      </c>
    </row>
    <row r="358" spans="1:3" x14ac:dyDescent="0.2">
      <c r="A358" t="s">
        <v>368</v>
      </c>
      <c r="C358" t="str">
        <f t="shared" si="16"/>
        <v/>
      </c>
    </row>
    <row r="359" spans="1:3" x14ac:dyDescent="0.2">
      <c r="A359" t="s">
        <v>297</v>
      </c>
      <c r="B359" t="s">
        <v>297</v>
      </c>
      <c r="C359" t="str">
        <f t="shared" si="16"/>
        <v>Zelienople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A547-C5AA-B44E-8508-2C0AB1124EB5}">
  <dimension ref="A1:A354"/>
  <sheetViews>
    <sheetView topLeftCell="A306" workbookViewId="0">
      <selection activeCell="A354" sqref="A354"/>
    </sheetView>
  </sheetViews>
  <sheetFormatPr baseColWidth="10" defaultRowHeight="16" x14ac:dyDescent="0.2"/>
  <sheetData>
    <row r="1" spans="1:1" x14ac:dyDescent="0.2">
      <c r="A1" t="s">
        <v>380</v>
      </c>
    </row>
    <row r="2" spans="1:1" x14ac:dyDescent="0.2">
      <c r="A2" t="s">
        <v>398</v>
      </c>
    </row>
    <row r="3" spans="1:1" x14ac:dyDescent="0.2">
      <c r="A3" t="s">
        <v>381</v>
      </c>
    </row>
    <row r="4" spans="1:1" x14ac:dyDescent="0.2">
      <c r="A4" t="s">
        <v>224</v>
      </c>
    </row>
    <row r="5" spans="1:1" x14ac:dyDescent="0.2">
      <c r="A5" t="s">
        <v>226</v>
      </c>
    </row>
    <row r="6" spans="1:1" x14ac:dyDescent="0.2">
      <c r="A6" t="s">
        <v>416</v>
      </c>
    </row>
    <row r="7" spans="1:1" x14ac:dyDescent="0.2">
      <c r="A7" t="s">
        <v>450</v>
      </c>
    </row>
    <row r="8" spans="1:1" x14ac:dyDescent="0.2">
      <c r="A8" t="s">
        <v>1</v>
      </c>
    </row>
    <row r="9" spans="1:1" x14ac:dyDescent="0.2">
      <c r="A9" t="s">
        <v>227</v>
      </c>
    </row>
    <row r="10" spans="1:1" x14ac:dyDescent="0.2">
      <c r="A10" t="s">
        <v>184</v>
      </c>
    </row>
    <row r="11" spans="1:1" x14ac:dyDescent="0.2">
      <c r="A11" t="s">
        <v>109</v>
      </c>
    </row>
    <row r="12" spans="1:1" x14ac:dyDescent="0.2">
      <c r="A12" t="s">
        <v>157</v>
      </c>
    </row>
    <row r="13" spans="1:1" x14ac:dyDescent="0.2">
      <c r="A13" t="s">
        <v>228</v>
      </c>
    </row>
    <row r="14" spans="1:1" x14ac:dyDescent="0.2">
      <c r="A14" t="s">
        <v>399</v>
      </c>
    </row>
    <row r="15" spans="1:1" x14ac:dyDescent="0.2">
      <c r="A15" t="s">
        <v>174</v>
      </c>
    </row>
    <row r="16" spans="1:1" x14ac:dyDescent="0.2">
      <c r="A16" t="s">
        <v>186</v>
      </c>
    </row>
    <row r="17" spans="1:1" x14ac:dyDescent="0.2">
      <c r="A17" t="s">
        <v>337</v>
      </c>
    </row>
    <row r="18" spans="1:1" x14ac:dyDescent="0.2">
      <c r="A18" t="s">
        <v>210</v>
      </c>
    </row>
    <row r="19" spans="1:1" x14ac:dyDescent="0.2">
      <c r="A19" t="s">
        <v>410</v>
      </c>
    </row>
    <row r="20" spans="1:1" x14ac:dyDescent="0.2">
      <c r="A20" t="s">
        <v>409</v>
      </c>
    </row>
    <row r="21" spans="1:1" x14ac:dyDescent="0.2">
      <c r="A21" t="s">
        <v>229</v>
      </c>
    </row>
    <row r="22" spans="1:1" x14ac:dyDescent="0.2">
      <c r="A22" t="s">
        <v>324</v>
      </c>
    </row>
    <row r="23" spans="1:1" x14ac:dyDescent="0.2">
      <c r="A23" t="s">
        <v>2</v>
      </c>
    </row>
    <row r="24" spans="1:1" x14ac:dyDescent="0.2">
      <c r="A24" t="s">
        <v>159</v>
      </c>
    </row>
    <row r="25" spans="1:1" x14ac:dyDescent="0.2">
      <c r="A25" t="s">
        <v>451</v>
      </c>
    </row>
    <row r="26" spans="1:1" x14ac:dyDescent="0.2">
      <c r="A26" t="s">
        <v>187</v>
      </c>
    </row>
    <row r="27" spans="1:1" x14ac:dyDescent="0.2">
      <c r="A27" t="s">
        <v>112</v>
      </c>
    </row>
    <row r="28" spans="1:1" x14ac:dyDescent="0.2">
      <c r="A28" t="s">
        <v>97</v>
      </c>
    </row>
    <row r="29" spans="1:1" x14ac:dyDescent="0.2">
      <c r="A29" t="s">
        <v>444</v>
      </c>
    </row>
    <row r="30" spans="1:1" x14ac:dyDescent="0.2">
      <c r="A30" t="s">
        <v>3</v>
      </c>
    </row>
    <row r="31" spans="1:1" x14ac:dyDescent="0.2">
      <c r="A31" t="s">
        <v>382</v>
      </c>
    </row>
    <row r="32" spans="1:1" x14ac:dyDescent="0.2">
      <c r="A32" t="s">
        <v>101</v>
      </c>
    </row>
    <row r="33" spans="1:1" x14ac:dyDescent="0.2">
      <c r="A33" t="s">
        <v>230</v>
      </c>
    </row>
    <row r="34" spans="1:1" x14ac:dyDescent="0.2">
      <c r="A34" t="s">
        <v>91</v>
      </c>
    </row>
    <row r="35" spans="1:1" x14ac:dyDescent="0.2">
      <c r="A35" t="s">
        <v>302</v>
      </c>
    </row>
    <row r="36" spans="1:1" x14ac:dyDescent="0.2">
      <c r="A36" t="s">
        <v>417</v>
      </c>
    </row>
    <row r="37" spans="1:1" x14ac:dyDescent="0.2">
      <c r="A37" t="s">
        <v>4</v>
      </c>
    </row>
    <row r="38" spans="1:1" x14ac:dyDescent="0.2">
      <c r="A38" t="s">
        <v>400</v>
      </c>
    </row>
    <row r="39" spans="1:1" x14ac:dyDescent="0.2">
      <c r="A39" t="s">
        <v>160</v>
      </c>
    </row>
    <row r="40" spans="1:1" x14ac:dyDescent="0.2">
      <c r="A40" t="s">
        <v>231</v>
      </c>
    </row>
    <row r="41" spans="1:1" x14ac:dyDescent="0.2">
      <c r="A41" t="s">
        <v>402</v>
      </c>
    </row>
    <row r="42" spans="1:1" x14ac:dyDescent="0.2">
      <c r="A42" t="s">
        <v>126</v>
      </c>
    </row>
    <row r="43" spans="1:1" x14ac:dyDescent="0.2">
      <c r="A43" t="s">
        <v>445</v>
      </c>
    </row>
    <row r="44" spans="1:1" x14ac:dyDescent="0.2">
      <c r="A44" t="s">
        <v>446</v>
      </c>
    </row>
    <row r="45" spans="1:1" x14ac:dyDescent="0.2">
      <c r="A45" t="s">
        <v>189</v>
      </c>
    </row>
    <row r="46" spans="1:1" x14ac:dyDescent="0.2">
      <c r="A46" t="s">
        <v>232</v>
      </c>
    </row>
    <row r="47" spans="1:1" x14ac:dyDescent="0.2">
      <c r="A47" t="s">
        <v>5</v>
      </c>
    </row>
    <row r="48" spans="1:1" x14ac:dyDescent="0.2">
      <c r="A48" t="s">
        <v>428</v>
      </c>
    </row>
    <row r="49" spans="1:1" x14ac:dyDescent="0.2">
      <c r="A49" t="s">
        <v>6</v>
      </c>
    </row>
    <row r="50" spans="1:1" x14ac:dyDescent="0.2">
      <c r="A50" t="s">
        <v>120</v>
      </c>
    </row>
    <row r="51" spans="1:1" x14ac:dyDescent="0.2">
      <c r="A51" t="s">
        <v>7</v>
      </c>
    </row>
    <row r="52" spans="1:1" x14ac:dyDescent="0.2">
      <c r="A52" t="s">
        <v>401</v>
      </c>
    </row>
    <row r="53" spans="1:1" x14ac:dyDescent="0.2">
      <c r="A53" t="s">
        <v>233</v>
      </c>
    </row>
    <row r="54" spans="1:1" x14ac:dyDescent="0.2">
      <c r="A54" t="s">
        <v>408</v>
      </c>
    </row>
    <row r="55" spans="1:1" x14ac:dyDescent="0.2">
      <c r="A55" t="s">
        <v>447</v>
      </c>
    </row>
    <row r="56" spans="1:1" x14ac:dyDescent="0.2">
      <c r="A56" t="s">
        <v>8</v>
      </c>
    </row>
    <row r="57" spans="1:1" x14ac:dyDescent="0.2">
      <c r="A57" t="s">
        <v>213</v>
      </c>
    </row>
    <row r="58" spans="1:1" x14ac:dyDescent="0.2">
      <c r="A58" t="s">
        <v>214</v>
      </c>
    </row>
    <row r="59" spans="1:1" x14ac:dyDescent="0.2">
      <c r="A59" t="s">
        <v>418</v>
      </c>
    </row>
    <row r="60" spans="1:1" x14ac:dyDescent="0.2">
      <c r="A60" t="s">
        <v>190</v>
      </c>
    </row>
    <row r="61" spans="1:1" x14ac:dyDescent="0.2">
      <c r="A61" t="s">
        <v>234</v>
      </c>
    </row>
    <row r="62" spans="1:1" x14ac:dyDescent="0.2">
      <c r="A62" t="s">
        <v>127</v>
      </c>
    </row>
    <row r="63" spans="1:1" x14ac:dyDescent="0.2">
      <c r="A63" t="s">
        <v>235</v>
      </c>
    </row>
    <row r="64" spans="1:1" x14ac:dyDescent="0.2">
      <c r="A64" t="s">
        <v>9</v>
      </c>
    </row>
    <row r="65" spans="1:1" x14ac:dyDescent="0.2">
      <c r="A65" t="s">
        <v>212</v>
      </c>
    </row>
    <row r="66" spans="1:1" x14ac:dyDescent="0.2">
      <c r="A66" t="s">
        <v>419</v>
      </c>
    </row>
    <row r="67" spans="1:1" x14ac:dyDescent="0.2">
      <c r="A67" t="s">
        <v>236</v>
      </c>
    </row>
    <row r="68" spans="1:1" x14ac:dyDescent="0.2">
      <c r="A68" t="s">
        <v>161</v>
      </c>
    </row>
    <row r="69" spans="1:1" x14ac:dyDescent="0.2">
      <c r="A69" t="s">
        <v>10</v>
      </c>
    </row>
    <row r="70" spans="1:1" x14ac:dyDescent="0.2">
      <c r="A70" t="s">
        <v>394</v>
      </c>
    </row>
    <row r="71" spans="1:1" x14ac:dyDescent="0.2">
      <c r="A71" t="s">
        <v>128</v>
      </c>
    </row>
    <row r="72" spans="1:1" x14ac:dyDescent="0.2">
      <c r="A72" t="s">
        <v>11</v>
      </c>
    </row>
    <row r="73" spans="1:1" x14ac:dyDescent="0.2">
      <c r="A73" t="s">
        <v>237</v>
      </c>
    </row>
    <row r="74" spans="1:1" x14ac:dyDescent="0.2">
      <c r="A74" t="s">
        <v>395</v>
      </c>
    </row>
    <row r="75" spans="1:1" x14ac:dyDescent="0.2">
      <c r="A75" t="s">
        <v>396</v>
      </c>
    </row>
    <row r="76" spans="1:1" x14ac:dyDescent="0.2">
      <c r="A76" t="s">
        <v>12</v>
      </c>
    </row>
    <row r="77" spans="1:1" x14ac:dyDescent="0.2">
      <c r="A77" t="s">
        <v>238</v>
      </c>
    </row>
    <row r="78" spans="1:1" x14ac:dyDescent="0.2">
      <c r="A78" t="s">
        <v>176</v>
      </c>
    </row>
    <row r="79" spans="1:1" x14ac:dyDescent="0.2">
      <c r="A79" t="s">
        <v>13</v>
      </c>
    </row>
    <row r="80" spans="1:1" x14ac:dyDescent="0.2">
      <c r="A80" t="s">
        <v>438</v>
      </c>
    </row>
    <row r="81" spans="1:1" x14ac:dyDescent="0.2">
      <c r="A81" t="s">
        <v>14</v>
      </c>
    </row>
    <row r="82" spans="1:1" x14ac:dyDescent="0.2">
      <c r="A82" t="s">
        <v>15</v>
      </c>
    </row>
    <row r="83" spans="1:1" x14ac:dyDescent="0.2">
      <c r="A83" t="s">
        <v>191</v>
      </c>
    </row>
    <row r="84" spans="1:1" x14ac:dyDescent="0.2">
      <c r="A84" t="s">
        <v>162</v>
      </c>
    </row>
    <row r="85" spans="1:1" x14ac:dyDescent="0.2">
      <c r="A85" t="s">
        <v>369</v>
      </c>
    </row>
    <row r="86" spans="1:1" x14ac:dyDescent="0.2">
      <c r="A86" t="s">
        <v>239</v>
      </c>
    </row>
    <row r="87" spans="1:1" x14ac:dyDescent="0.2">
      <c r="A87" t="s">
        <v>130</v>
      </c>
    </row>
    <row r="88" spans="1:1" x14ac:dyDescent="0.2">
      <c r="A88" t="s">
        <v>132</v>
      </c>
    </row>
    <row r="89" spans="1:1" x14ac:dyDescent="0.2">
      <c r="A89" t="s">
        <v>403</v>
      </c>
    </row>
    <row r="90" spans="1:1" x14ac:dyDescent="0.2">
      <c r="A90" t="s">
        <v>240</v>
      </c>
    </row>
    <row r="91" spans="1:1" x14ac:dyDescent="0.2">
      <c r="A91" t="s">
        <v>192</v>
      </c>
    </row>
    <row r="92" spans="1:1" x14ac:dyDescent="0.2">
      <c r="A92" t="s">
        <v>420</v>
      </c>
    </row>
    <row r="93" spans="1:1" x14ac:dyDescent="0.2">
      <c r="A93" t="s">
        <v>241</v>
      </c>
    </row>
    <row r="94" spans="1:1" x14ac:dyDescent="0.2">
      <c r="A94" t="s">
        <v>439</v>
      </c>
    </row>
    <row r="95" spans="1:1" x14ac:dyDescent="0.2">
      <c r="A95" t="s">
        <v>193</v>
      </c>
    </row>
    <row r="96" spans="1:1" x14ac:dyDescent="0.2">
      <c r="A96" t="s">
        <v>16</v>
      </c>
    </row>
    <row r="97" spans="1:1" x14ac:dyDescent="0.2">
      <c r="A97" t="s">
        <v>440</v>
      </c>
    </row>
    <row r="98" spans="1:1" x14ac:dyDescent="0.2">
      <c r="A98" t="s">
        <v>242</v>
      </c>
    </row>
    <row r="99" spans="1:1" x14ac:dyDescent="0.2">
      <c r="A99" t="s">
        <v>243</v>
      </c>
    </row>
    <row r="100" spans="1:1" x14ac:dyDescent="0.2">
      <c r="A100" t="s">
        <v>194</v>
      </c>
    </row>
    <row r="101" spans="1:1" x14ac:dyDescent="0.2">
      <c r="A101" t="s">
        <v>383</v>
      </c>
    </row>
    <row r="102" spans="1:1" x14ac:dyDescent="0.2">
      <c r="A102" t="s">
        <v>361</v>
      </c>
    </row>
    <row r="103" spans="1:1" x14ac:dyDescent="0.2">
      <c r="A103" t="s">
        <v>244</v>
      </c>
    </row>
    <row r="104" spans="1:1" x14ac:dyDescent="0.2">
      <c r="A104" t="s">
        <v>245</v>
      </c>
    </row>
    <row r="105" spans="1:1" x14ac:dyDescent="0.2">
      <c r="A105" t="s">
        <v>441</v>
      </c>
    </row>
    <row r="106" spans="1:1" x14ac:dyDescent="0.2">
      <c r="A106" t="s">
        <v>303</v>
      </c>
    </row>
    <row r="107" spans="1:1" x14ac:dyDescent="0.2">
      <c r="A107" t="s">
        <v>247</v>
      </c>
    </row>
    <row r="108" spans="1:1" x14ac:dyDescent="0.2">
      <c r="A108" t="s">
        <v>248</v>
      </c>
    </row>
    <row r="109" spans="1:1" x14ac:dyDescent="0.2">
      <c r="A109" t="s">
        <v>435</v>
      </c>
    </row>
    <row r="110" spans="1:1" x14ac:dyDescent="0.2">
      <c r="A110" t="s">
        <v>92</v>
      </c>
    </row>
    <row r="111" spans="1:1" x14ac:dyDescent="0.2">
      <c r="A111" t="s">
        <v>110</v>
      </c>
    </row>
    <row r="112" spans="1:1" x14ac:dyDescent="0.2">
      <c r="A112" t="s">
        <v>102</v>
      </c>
    </row>
    <row r="113" spans="1:1" x14ac:dyDescent="0.2">
      <c r="A113" t="s">
        <v>304</v>
      </c>
    </row>
    <row r="114" spans="1:1" x14ac:dyDescent="0.2">
      <c r="A114" t="s">
        <v>299</v>
      </c>
    </row>
    <row r="115" spans="1:1" x14ac:dyDescent="0.2">
      <c r="A115" t="s">
        <v>325</v>
      </c>
    </row>
    <row r="116" spans="1:1" x14ac:dyDescent="0.2">
      <c r="A116" t="s">
        <v>103</v>
      </c>
    </row>
    <row r="117" spans="1:1" x14ac:dyDescent="0.2">
      <c r="A117" t="s">
        <v>421</v>
      </c>
    </row>
    <row r="118" spans="1:1" x14ac:dyDescent="0.2">
      <c r="A118" t="s">
        <v>163</v>
      </c>
    </row>
    <row r="119" spans="1:1" x14ac:dyDescent="0.2">
      <c r="A119" t="s">
        <v>422</v>
      </c>
    </row>
    <row r="120" spans="1:1" x14ac:dyDescent="0.2">
      <c r="A120" t="s">
        <v>164</v>
      </c>
    </row>
    <row r="121" spans="1:1" x14ac:dyDescent="0.2">
      <c r="A121" t="s">
        <v>370</v>
      </c>
    </row>
    <row r="122" spans="1:1" x14ac:dyDescent="0.2">
      <c r="A122" t="s">
        <v>371</v>
      </c>
    </row>
    <row r="123" spans="1:1" x14ac:dyDescent="0.2">
      <c r="A123" t="s">
        <v>372</v>
      </c>
    </row>
    <row r="124" spans="1:1" x14ac:dyDescent="0.2">
      <c r="A124" t="s">
        <v>215</v>
      </c>
    </row>
    <row r="125" spans="1:1" x14ac:dyDescent="0.2">
      <c r="A125" t="s">
        <v>17</v>
      </c>
    </row>
    <row r="126" spans="1:1" x14ac:dyDescent="0.2">
      <c r="A126" t="s">
        <v>18</v>
      </c>
    </row>
    <row r="127" spans="1:1" x14ac:dyDescent="0.2">
      <c r="A127" t="s">
        <v>104</v>
      </c>
    </row>
    <row r="128" spans="1:1" x14ac:dyDescent="0.2">
      <c r="A128" t="s">
        <v>19</v>
      </c>
    </row>
    <row r="129" spans="1:1" x14ac:dyDescent="0.2">
      <c r="A129" t="s">
        <v>20</v>
      </c>
    </row>
    <row r="130" spans="1:1" x14ac:dyDescent="0.2">
      <c r="A130" t="s">
        <v>362</v>
      </c>
    </row>
    <row r="131" spans="1:1" x14ac:dyDescent="0.2">
      <c r="A131" t="s">
        <v>375</v>
      </c>
    </row>
    <row r="132" spans="1:1" x14ac:dyDescent="0.2">
      <c r="A132" t="s">
        <v>376</v>
      </c>
    </row>
    <row r="133" spans="1:1" x14ac:dyDescent="0.2">
      <c r="A133" t="s">
        <v>449</v>
      </c>
    </row>
    <row r="134" spans="1:1" x14ac:dyDescent="0.2">
      <c r="A134" t="s">
        <v>249</v>
      </c>
    </row>
    <row r="135" spans="1:1" x14ac:dyDescent="0.2">
      <c r="A135" t="s">
        <v>133</v>
      </c>
    </row>
    <row r="136" spans="1:1" x14ac:dyDescent="0.2">
      <c r="A136" t="s">
        <v>250</v>
      </c>
    </row>
    <row r="137" spans="1:1" x14ac:dyDescent="0.2">
      <c r="A137" t="s">
        <v>423</v>
      </c>
    </row>
    <row r="138" spans="1:1" x14ac:dyDescent="0.2">
      <c r="A138" t="s">
        <v>216</v>
      </c>
    </row>
    <row r="139" spans="1:1" x14ac:dyDescent="0.2">
      <c r="A139" t="s">
        <v>251</v>
      </c>
    </row>
    <row r="140" spans="1:1" x14ac:dyDescent="0.2">
      <c r="A140" t="s">
        <v>134</v>
      </c>
    </row>
    <row r="141" spans="1:1" x14ac:dyDescent="0.2">
      <c r="A141" t="s">
        <v>300</v>
      </c>
    </row>
    <row r="142" spans="1:1" x14ac:dyDescent="0.2">
      <c r="A142" t="s">
        <v>385</v>
      </c>
    </row>
    <row r="143" spans="1:1" x14ac:dyDescent="0.2">
      <c r="A143" t="s">
        <v>252</v>
      </c>
    </row>
    <row r="144" spans="1:1" x14ac:dyDescent="0.2">
      <c r="A144" t="s">
        <v>21</v>
      </c>
    </row>
    <row r="145" spans="1:1" x14ac:dyDescent="0.2">
      <c r="A145" t="s">
        <v>430</v>
      </c>
    </row>
    <row r="146" spans="1:1" x14ac:dyDescent="0.2">
      <c r="A146" t="s">
        <v>179</v>
      </c>
    </row>
    <row r="147" spans="1:1" x14ac:dyDescent="0.2">
      <c r="A147" t="s">
        <v>373</v>
      </c>
    </row>
    <row r="148" spans="1:1" x14ac:dyDescent="0.2">
      <c r="A148" t="s">
        <v>22</v>
      </c>
    </row>
    <row r="149" spans="1:1" x14ac:dyDescent="0.2">
      <c r="A149" t="s">
        <v>23</v>
      </c>
    </row>
    <row r="150" spans="1:1" x14ac:dyDescent="0.2">
      <c r="A150" t="s">
        <v>326</v>
      </c>
    </row>
    <row r="151" spans="1:1" x14ac:dyDescent="0.2">
      <c r="A151" t="s">
        <v>24</v>
      </c>
    </row>
    <row r="152" spans="1:1" x14ac:dyDescent="0.2">
      <c r="A152" t="s">
        <v>436</v>
      </c>
    </row>
    <row r="153" spans="1:1" x14ac:dyDescent="0.2">
      <c r="A153" t="s">
        <v>198</v>
      </c>
    </row>
    <row r="154" spans="1:1" x14ac:dyDescent="0.2">
      <c r="A154" t="s">
        <v>199</v>
      </c>
    </row>
    <row r="155" spans="1:1" x14ac:dyDescent="0.2">
      <c r="A155" t="s">
        <v>437</v>
      </c>
    </row>
    <row r="156" spans="1:1" x14ac:dyDescent="0.2">
      <c r="A156" t="s">
        <v>429</v>
      </c>
    </row>
    <row r="157" spans="1:1" x14ac:dyDescent="0.2">
      <c r="A157" t="s">
        <v>165</v>
      </c>
    </row>
    <row r="158" spans="1:1" x14ac:dyDescent="0.2">
      <c r="A158" t="s">
        <v>454</v>
      </c>
    </row>
    <row r="159" spans="1:1" x14ac:dyDescent="0.2">
      <c r="A159" t="s">
        <v>253</v>
      </c>
    </row>
    <row r="160" spans="1:1" x14ac:dyDescent="0.2">
      <c r="A160" t="s">
        <v>374</v>
      </c>
    </row>
    <row r="161" spans="1:1" x14ac:dyDescent="0.2">
      <c r="A161" t="s">
        <v>360</v>
      </c>
    </row>
    <row r="162" spans="1:1" x14ac:dyDescent="0.2">
      <c r="A162" t="s">
        <v>411</v>
      </c>
    </row>
    <row r="163" spans="1:1" x14ac:dyDescent="0.2">
      <c r="A163" t="s">
        <v>424</v>
      </c>
    </row>
    <row r="164" spans="1:1" x14ac:dyDescent="0.2">
      <c r="A164" t="s">
        <v>25</v>
      </c>
    </row>
    <row r="165" spans="1:1" x14ac:dyDescent="0.2">
      <c r="A165" t="s">
        <v>71</v>
      </c>
    </row>
    <row r="166" spans="1:1" x14ac:dyDescent="0.2">
      <c r="A166" t="s">
        <v>26</v>
      </c>
    </row>
    <row r="167" spans="1:1" x14ac:dyDescent="0.2">
      <c r="A167" t="s">
        <v>384</v>
      </c>
    </row>
    <row r="168" spans="1:1" x14ac:dyDescent="0.2">
      <c r="A168" t="s">
        <v>28</v>
      </c>
    </row>
    <row r="169" spans="1:1" x14ac:dyDescent="0.2">
      <c r="A169" t="s">
        <v>29</v>
      </c>
    </row>
    <row r="170" spans="1:1" x14ac:dyDescent="0.2">
      <c r="A170" t="s">
        <v>166</v>
      </c>
    </row>
    <row r="171" spans="1:1" x14ac:dyDescent="0.2">
      <c r="A171" t="s">
        <v>431</v>
      </c>
    </row>
    <row r="172" spans="1:1" x14ac:dyDescent="0.2">
      <c r="A172" t="s">
        <v>30</v>
      </c>
    </row>
    <row r="173" spans="1:1" x14ac:dyDescent="0.2">
      <c r="A173" t="s">
        <v>254</v>
      </c>
    </row>
    <row r="174" spans="1:1" x14ac:dyDescent="0.2">
      <c r="A174" t="s">
        <v>310</v>
      </c>
    </row>
    <row r="175" spans="1:1" x14ac:dyDescent="0.2">
      <c r="A175" t="s">
        <v>452</v>
      </c>
    </row>
    <row r="176" spans="1:1" x14ac:dyDescent="0.2">
      <c r="A176" t="s">
        <v>377</v>
      </c>
    </row>
    <row r="177" spans="1:1" x14ac:dyDescent="0.2">
      <c r="A177" t="s">
        <v>255</v>
      </c>
    </row>
    <row r="178" spans="1:1" x14ac:dyDescent="0.2">
      <c r="A178" t="s">
        <v>31</v>
      </c>
    </row>
    <row r="179" spans="1:1" x14ac:dyDescent="0.2">
      <c r="A179" t="s">
        <v>32</v>
      </c>
    </row>
    <row r="180" spans="1:1" x14ac:dyDescent="0.2">
      <c r="A180" t="s">
        <v>33</v>
      </c>
    </row>
    <row r="181" spans="1:1" x14ac:dyDescent="0.2">
      <c r="A181" t="s">
        <v>34</v>
      </c>
    </row>
    <row r="182" spans="1:1" x14ac:dyDescent="0.2">
      <c r="A182" t="s">
        <v>68</v>
      </c>
    </row>
    <row r="183" spans="1:1" x14ac:dyDescent="0.2">
      <c r="A183" t="s">
        <v>35</v>
      </c>
    </row>
    <row r="184" spans="1:1" x14ac:dyDescent="0.2">
      <c r="A184" t="s">
        <v>36</v>
      </c>
    </row>
    <row r="185" spans="1:1" x14ac:dyDescent="0.2">
      <c r="A185" t="s">
        <v>37</v>
      </c>
    </row>
    <row r="186" spans="1:1" x14ac:dyDescent="0.2">
      <c r="A186" t="s">
        <v>38</v>
      </c>
    </row>
    <row r="187" spans="1:1" x14ac:dyDescent="0.2">
      <c r="A187" t="s">
        <v>256</v>
      </c>
    </row>
    <row r="188" spans="1:1" x14ac:dyDescent="0.2">
      <c r="A188" t="s">
        <v>177</v>
      </c>
    </row>
    <row r="189" spans="1:1" x14ac:dyDescent="0.2">
      <c r="A189" t="s">
        <v>393</v>
      </c>
    </row>
    <row r="190" spans="1:1" x14ac:dyDescent="0.2">
      <c r="A190" t="s">
        <v>363</v>
      </c>
    </row>
    <row r="191" spans="1:1" x14ac:dyDescent="0.2">
      <c r="A191" t="s">
        <v>131</v>
      </c>
    </row>
    <row r="192" spans="1:1" x14ac:dyDescent="0.2">
      <c r="A192" t="s">
        <v>364</v>
      </c>
    </row>
    <row r="193" spans="1:1" x14ac:dyDescent="0.2">
      <c r="A193" t="s">
        <v>39</v>
      </c>
    </row>
    <row r="194" spans="1:1" x14ac:dyDescent="0.2">
      <c r="A194" t="s">
        <v>200</v>
      </c>
    </row>
    <row r="195" spans="1:1" x14ac:dyDescent="0.2">
      <c r="A195" t="s">
        <v>201</v>
      </c>
    </row>
    <row r="196" spans="1:1" x14ac:dyDescent="0.2">
      <c r="A196" t="s">
        <v>257</v>
      </c>
    </row>
    <row r="197" spans="1:1" x14ac:dyDescent="0.2">
      <c r="A197" t="s">
        <v>453</v>
      </c>
    </row>
    <row r="198" spans="1:1" x14ac:dyDescent="0.2">
      <c r="A198" t="s">
        <v>258</v>
      </c>
    </row>
    <row r="199" spans="1:1" x14ac:dyDescent="0.2">
      <c r="A199" t="s">
        <v>405</v>
      </c>
    </row>
    <row r="200" spans="1:1" x14ac:dyDescent="0.2">
      <c r="A200" t="s">
        <v>397</v>
      </c>
    </row>
    <row r="201" spans="1:1" x14ac:dyDescent="0.2">
      <c r="A201" t="s">
        <v>365</v>
      </c>
    </row>
    <row r="202" spans="1:1" x14ac:dyDescent="0.2">
      <c r="A202" t="s">
        <v>167</v>
      </c>
    </row>
    <row r="203" spans="1:1" x14ac:dyDescent="0.2">
      <c r="A203" t="s">
        <v>432</v>
      </c>
    </row>
    <row r="204" spans="1:1" x14ac:dyDescent="0.2">
      <c r="A204" t="s">
        <v>433</v>
      </c>
    </row>
    <row r="205" spans="1:1" x14ac:dyDescent="0.2">
      <c r="A205" t="s">
        <v>136</v>
      </c>
    </row>
    <row r="206" spans="1:1" x14ac:dyDescent="0.2">
      <c r="A206" t="s">
        <v>455</v>
      </c>
    </row>
    <row r="207" spans="1:1" x14ac:dyDescent="0.2">
      <c r="A207" t="s">
        <v>137</v>
      </c>
    </row>
    <row r="208" spans="1:1" x14ac:dyDescent="0.2">
      <c r="A208" t="s">
        <v>105</v>
      </c>
    </row>
    <row r="209" spans="1:1" x14ac:dyDescent="0.2">
      <c r="A209" t="s">
        <v>386</v>
      </c>
    </row>
    <row r="210" spans="1:1" x14ac:dyDescent="0.2">
      <c r="A210" t="s">
        <v>387</v>
      </c>
    </row>
    <row r="211" spans="1:1" x14ac:dyDescent="0.2">
      <c r="A211" t="s">
        <v>259</v>
      </c>
    </row>
    <row r="212" spans="1:1" x14ac:dyDescent="0.2">
      <c r="A212" t="s">
        <v>378</v>
      </c>
    </row>
    <row r="213" spans="1:1" x14ac:dyDescent="0.2">
      <c r="A213" t="s">
        <v>260</v>
      </c>
    </row>
    <row r="214" spans="1:1" x14ac:dyDescent="0.2">
      <c r="A214" t="s">
        <v>389</v>
      </c>
    </row>
    <row r="215" spans="1:1" x14ac:dyDescent="0.2">
      <c r="A215" t="s">
        <v>388</v>
      </c>
    </row>
    <row r="216" spans="1:1" x14ac:dyDescent="0.2">
      <c r="A216" t="s">
        <v>106</v>
      </c>
    </row>
    <row r="217" spans="1:1" x14ac:dyDescent="0.2">
      <c r="A217" t="s">
        <v>261</v>
      </c>
    </row>
    <row r="218" spans="1:1" x14ac:dyDescent="0.2">
      <c r="A218" t="s">
        <v>40</v>
      </c>
    </row>
    <row r="219" spans="1:1" x14ac:dyDescent="0.2">
      <c r="A219" t="s">
        <v>262</v>
      </c>
    </row>
    <row r="220" spans="1:1" x14ac:dyDescent="0.2">
      <c r="A220" t="s">
        <v>456</v>
      </c>
    </row>
    <row r="221" spans="1:1" x14ac:dyDescent="0.2">
      <c r="A221" t="s">
        <v>202</v>
      </c>
    </row>
    <row r="222" spans="1:1" x14ac:dyDescent="0.2">
      <c r="A222" t="s">
        <v>263</v>
      </c>
    </row>
    <row r="223" spans="1:1" x14ac:dyDescent="0.2">
      <c r="A223" t="s">
        <v>457</v>
      </c>
    </row>
    <row r="224" spans="1:1" x14ac:dyDescent="0.2">
      <c r="A224" t="s">
        <v>41</v>
      </c>
    </row>
    <row r="225" spans="1:1" x14ac:dyDescent="0.2">
      <c r="A225" t="s">
        <v>138</v>
      </c>
    </row>
    <row r="226" spans="1:1" x14ac:dyDescent="0.2">
      <c r="A226" t="s">
        <v>458</v>
      </c>
    </row>
    <row r="227" spans="1:1" x14ac:dyDescent="0.2">
      <c r="A227" t="s">
        <v>140</v>
      </c>
    </row>
    <row r="228" spans="1:1" x14ac:dyDescent="0.2">
      <c r="A228" t="s">
        <v>107</v>
      </c>
    </row>
    <row r="229" spans="1:1" x14ac:dyDescent="0.2">
      <c r="A229" t="s">
        <v>459</v>
      </c>
    </row>
    <row r="230" spans="1:1" x14ac:dyDescent="0.2">
      <c r="A230" t="s">
        <v>141</v>
      </c>
    </row>
    <row r="231" spans="1:1" x14ac:dyDescent="0.2">
      <c r="A231" t="s">
        <v>142</v>
      </c>
    </row>
    <row r="232" spans="1:1" x14ac:dyDescent="0.2">
      <c r="A232" t="s">
        <v>42</v>
      </c>
    </row>
    <row r="233" spans="1:1" x14ac:dyDescent="0.2">
      <c r="A233" t="s">
        <v>301</v>
      </c>
    </row>
    <row r="234" spans="1:1" x14ac:dyDescent="0.2">
      <c r="A234" t="s">
        <v>265</v>
      </c>
    </row>
    <row r="235" spans="1:1" x14ac:dyDescent="0.2">
      <c r="A235" t="s">
        <v>266</v>
      </c>
    </row>
    <row r="236" spans="1:1" x14ac:dyDescent="0.2">
      <c r="A236" t="s">
        <v>412</v>
      </c>
    </row>
    <row r="237" spans="1:1" x14ac:dyDescent="0.2">
      <c r="A237" t="s">
        <v>143</v>
      </c>
    </row>
    <row r="238" spans="1:1" x14ac:dyDescent="0.2">
      <c r="A238" t="s">
        <v>144</v>
      </c>
    </row>
    <row r="239" spans="1:1" x14ac:dyDescent="0.2">
      <c r="A239" t="s">
        <v>93</v>
      </c>
    </row>
    <row r="240" spans="1:1" x14ac:dyDescent="0.2">
      <c r="A240" t="s">
        <v>94</v>
      </c>
    </row>
    <row r="241" spans="1:1" x14ac:dyDescent="0.2">
      <c r="A241" t="s">
        <v>413</v>
      </c>
    </row>
    <row r="242" spans="1:1" x14ac:dyDescent="0.2">
      <c r="A242" t="s">
        <v>43</v>
      </c>
    </row>
    <row r="243" spans="1:1" x14ac:dyDescent="0.2">
      <c r="A243" t="s">
        <v>69</v>
      </c>
    </row>
    <row r="244" spans="1:1" x14ac:dyDescent="0.2">
      <c r="A244" t="s">
        <v>168</v>
      </c>
    </row>
    <row r="245" spans="1:1" x14ac:dyDescent="0.2">
      <c r="A245" t="s">
        <v>203</v>
      </c>
    </row>
    <row r="246" spans="1:1" x14ac:dyDescent="0.2">
      <c r="A246" t="s">
        <v>204</v>
      </c>
    </row>
    <row r="247" spans="1:1" x14ac:dyDescent="0.2">
      <c r="A247" t="s">
        <v>44</v>
      </c>
    </row>
    <row r="248" spans="1:1" x14ac:dyDescent="0.2">
      <c r="A248" t="s">
        <v>45</v>
      </c>
    </row>
    <row r="249" spans="1:1" x14ac:dyDescent="0.2">
      <c r="A249" t="s">
        <v>46</v>
      </c>
    </row>
    <row r="250" spans="1:1" x14ac:dyDescent="0.2">
      <c r="A250" t="s">
        <v>47</v>
      </c>
    </row>
    <row r="251" spans="1:1" x14ac:dyDescent="0.2">
      <c r="A251" t="s">
        <v>311</v>
      </c>
    </row>
    <row r="252" spans="1:1" x14ac:dyDescent="0.2">
      <c r="A252" t="s">
        <v>169</v>
      </c>
    </row>
    <row r="253" spans="1:1" x14ac:dyDescent="0.2">
      <c r="A253" t="s">
        <v>267</v>
      </c>
    </row>
    <row r="254" spans="1:1" x14ac:dyDescent="0.2">
      <c r="A254" t="s">
        <v>461</v>
      </c>
    </row>
    <row r="255" spans="1:1" x14ac:dyDescent="0.2">
      <c r="A255" t="s">
        <v>268</v>
      </c>
    </row>
    <row r="256" spans="1:1" x14ac:dyDescent="0.2">
      <c r="A256" t="s">
        <v>462</v>
      </c>
    </row>
    <row r="257" spans="1:1" x14ac:dyDescent="0.2">
      <c r="A257" t="s">
        <v>117</v>
      </c>
    </row>
    <row r="258" spans="1:1" x14ac:dyDescent="0.2">
      <c r="A258" t="s">
        <v>366</v>
      </c>
    </row>
    <row r="259" spans="1:1" x14ac:dyDescent="0.2">
      <c r="A259" t="s">
        <v>269</v>
      </c>
    </row>
    <row r="260" spans="1:1" x14ac:dyDescent="0.2">
      <c r="A260" t="s">
        <v>379</v>
      </c>
    </row>
    <row r="261" spans="1:1" x14ac:dyDescent="0.2">
      <c r="A261" t="s">
        <v>312</v>
      </c>
    </row>
    <row r="262" spans="1:1" x14ac:dyDescent="0.2">
      <c r="A262" t="s">
        <v>271</v>
      </c>
    </row>
    <row r="263" spans="1:1" x14ac:dyDescent="0.2">
      <c r="A263" t="s">
        <v>463</v>
      </c>
    </row>
    <row r="264" spans="1:1" x14ac:dyDescent="0.2">
      <c r="A264" t="s">
        <v>273</v>
      </c>
    </row>
    <row r="265" spans="1:1" x14ac:dyDescent="0.2">
      <c r="A265" t="s">
        <v>466</v>
      </c>
    </row>
    <row r="266" spans="1:1" x14ac:dyDescent="0.2">
      <c r="A266" t="s">
        <v>467</v>
      </c>
    </row>
    <row r="267" spans="1:1" x14ac:dyDescent="0.2">
      <c r="A267" t="s">
        <v>274</v>
      </c>
    </row>
    <row r="268" spans="1:1" x14ac:dyDescent="0.2">
      <c r="A268" t="s">
        <v>48</v>
      </c>
    </row>
    <row r="269" spans="1:1" x14ac:dyDescent="0.2">
      <c r="A269" t="s">
        <v>469</v>
      </c>
    </row>
    <row r="270" spans="1:1" x14ac:dyDescent="0.2">
      <c r="A270" t="s">
        <v>470</v>
      </c>
    </row>
    <row r="271" spans="1:1" x14ac:dyDescent="0.2">
      <c r="A271" t="s">
        <v>146</v>
      </c>
    </row>
    <row r="272" spans="1:1" x14ac:dyDescent="0.2">
      <c r="A272" t="s">
        <v>276</v>
      </c>
    </row>
    <row r="273" spans="1:1" x14ac:dyDescent="0.2">
      <c r="A273" t="s">
        <v>277</v>
      </c>
    </row>
    <row r="274" spans="1:1" x14ac:dyDescent="0.2">
      <c r="A274" t="s">
        <v>49</v>
      </c>
    </row>
    <row r="275" spans="1:1" x14ac:dyDescent="0.2">
      <c r="A275" t="s">
        <v>50</v>
      </c>
    </row>
    <row r="276" spans="1:1" x14ac:dyDescent="0.2">
      <c r="A276" t="s">
        <v>219</v>
      </c>
    </row>
    <row r="277" spans="1:1" x14ac:dyDescent="0.2">
      <c r="A277" t="s">
        <v>51</v>
      </c>
    </row>
    <row r="278" spans="1:1" x14ac:dyDescent="0.2">
      <c r="A278" t="s">
        <v>52</v>
      </c>
    </row>
    <row r="279" spans="1:1" x14ac:dyDescent="0.2">
      <c r="A279" t="s">
        <v>313</v>
      </c>
    </row>
    <row r="280" spans="1:1" x14ac:dyDescent="0.2">
      <c r="A280" t="s">
        <v>53</v>
      </c>
    </row>
    <row r="281" spans="1:1" x14ac:dyDescent="0.2">
      <c r="A281" t="s">
        <v>390</v>
      </c>
    </row>
    <row r="282" spans="1:1" x14ac:dyDescent="0.2">
      <c r="A282" t="s">
        <v>54</v>
      </c>
    </row>
    <row r="283" spans="1:1" x14ac:dyDescent="0.2">
      <c r="A283" t="s">
        <v>55</v>
      </c>
    </row>
    <row r="284" spans="1:1" x14ac:dyDescent="0.2">
      <c r="A284" t="s">
        <v>70</v>
      </c>
    </row>
    <row r="285" spans="1:1" x14ac:dyDescent="0.2">
      <c r="A285" t="s">
        <v>56</v>
      </c>
    </row>
    <row r="286" spans="1:1" x14ac:dyDescent="0.2">
      <c r="A286" t="s">
        <v>57</v>
      </c>
    </row>
    <row r="287" spans="1:1" x14ac:dyDescent="0.2">
      <c r="A287" t="s">
        <v>58</v>
      </c>
    </row>
    <row r="288" spans="1:1" x14ac:dyDescent="0.2">
      <c r="A288" t="s">
        <v>59</v>
      </c>
    </row>
    <row r="289" spans="1:1" x14ac:dyDescent="0.2">
      <c r="A289" t="s">
        <v>60</v>
      </c>
    </row>
    <row r="290" spans="1:1" x14ac:dyDescent="0.2">
      <c r="A290" t="s">
        <v>61</v>
      </c>
    </row>
    <row r="291" spans="1:1" x14ac:dyDescent="0.2">
      <c r="A291" t="s">
        <v>391</v>
      </c>
    </row>
    <row r="292" spans="1:1" x14ac:dyDescent="0.2">
      <c r="A292" t="s">
        <v>62</v>
      </c>
    </row>
    <row r="293" spans="1:1" x14ac:dyDescent="0.2">
      <c r="A293" t="s">
        <v>63</v>
      </c>
    </row>
    <row r="294" spans="1:1" x14ac:dyDescent="0.2">
      <c r="A294" t="s">
        <v>170</v>
      </c>
    </row>
    <row r="295" spans="1:1" x14ac:dyDescent="0.2">
      <c r="A295" t="s">
        <v>178</v>
      </c>
    </row>
    <row r="296" spans="1:1" x14ac:dyDescent="0.2">
      <c r="A296" t="s">
        <v>148</v>
      </c>
    </row>
    <row r="297" spans="1:1" x14ac:dyDescent="0.2">
      <c r="A297" t="s">
        <v>278</v>
      </c>
    </row>
    <row r="298" spans="1:1" x14ac:dyDescent="0.2">
      <c r="A298" t="s">
        <v>64</v>
      </c>
    </row>
    <row r="299" spans="1:1" x14ac:dyDescent="0.2">
      <c r="A299" t="s">
        <v>205</v>
      </c>
    </row>
    <row r="300" spans="1:1" x14ac:dyDescent="0.2">
      <c r="A300" t="s">
        <v>471</v>
      </c>
    </row>
    <row r="301" spans="1:1" x14ac:dyDescent="0.2">
      <c r="A301" t="s">
        <v>279</v>
      </c>
    </row>
    <row r="302" spans="1:1" x14ac:dyDescent="0.2">
      <c r="A302" t="s">
        <v>392</v>
      </c>
    </row>
    <row r="303" spans="1:1" x14ac:dyDescent="0.2">
      <c r="A303" t="s">
        <v>206</v>
      </c>
    </row>
    <row r="304" spans="1:1" x14ac:dyDescent="0.2">
      <c r="A304" t="s">
        <v>426</v>
      </c>
    </row>
    <row r="305" spans="1:1" x14ac:dyDescent="0.2">
      <c r="A305" t="s">
        <v>472</v>
      </c>
    </row>
    <row r="306" spans="1:1" x14ac:dyDescent="0.2">
      <c r="A306" t="s">
        <v>65</v>
      </c>
    </row>
    <row r="307" spans="1:1" x14ac:dyDescent="0.2">
      <c r="A307" t="s">
        <v>66</v>
      </c>
    </row>
    <row r="308" spans="1:1" x14ac:dyDescent="0.2">
      <c r="A308" t="s">
        <v>281</v>
      </c>
    </row>
    <row r="309" spans="1:1" x14ac:dyDescent="0.2">
      <c r="A309" t="s">
        <v>427</v>
      </c>
    </row>
    <row r="310" spans="1:1" x14ac:dyDescent="0.2">
      <c r="A310" t="s">
        <v>434</v>
      </c>
    </row>
    <row r="311" spans="1:1" x14ac:dyDescent="0.2">
      <c r="A311" t="s">
        <v>150</v>
      </c>
    </row>
    <row r="312" spans="1:1" x14ac:dyDescent="0.2">
      <c r="A312" t="s">
        <v>67</v>
      </c>
    </row>
    <row r="313" spans="1:1" x14ac:dyDescent="0.2">
      <c r="A313" t="s">
        <v>207</v>
      </c>
    </row>
    <row r="314" spans="1:1" x14ac:dyDescent="0.2">
      <c r="A314" t="s">
        <v>460</v>
      </c>
    </row>
    <row r="315" spans="1:1" x14ac:dyDescent="0.2">
      <c r="A315" t="s">
        <v>442</v>
      </c>
    </row>
    <row r="316" spans="1:1" x14ac:dyDescent="0.2">
      <c r="A316" t="s">
        <v>172</v>
      </c>
    </row>
    <row r="317" spans="1:1" x14ac:dyDescent="0.2">
      <c r="A317" t="s">
        <v>425</v>
      </c>
    </row>
    <row r="318" spans="1:1" x14ac:dyDescent="0.2">
      <c r="A318" t="s">
        <v>151</v>
      </c>
    </row>
    <row r="319" spans="1:1" x14ac:dyDescent="0.2">
      <c r="A319" t="s">
        <v>282</v>
      </c>
    </row>
    <row r="320" spans="1:1" x14ac:dyDescent="0.2">
      <c r="A320" t="s">
        <v>283</v>
      </c>
    </row>
    <row r="321" spans="1:1" x14ac:dyDescent="0.2">
      <c r="A321" t="s">
        <v>415</v>
      </c>
    </row>
    <row r="322" spans="1:1" x14ac:dyDescent="0.2">
      <c r="A322" t="s">
        <v>116</v>
      </c>
    </row>
    <row r="323" spans="1:1" x14ac:dyDescent="0.2">
      <c r="A323" t="s">
        <v>327</v>
      </c>
    </row>
    <row r="324" spans="1:1" x14ac:dyDescent="0.2">
      <c r="A324" t="s">
        <v>285</v>
      </c>
    </row>
    <row r="325" spans="1:1" x14ac:dyDescent="0.2">
      <c r="A325" t="s">
        <v>286</v>
      </c>
    </row>
    <row r="326" spans="1:1" x14ac:dyDescent="0.2">
      <c r="A326" t="s">
        <v>182</v>
      </c>
    </row>
    <row r="327" spans="1:1" x14ac:dyDescent="0.2">
      <c r="A327" t="s">
        <v>288</v>
      </c>
    </row>
    <row r="328" spans="1:1" x14ac:dyDescent="0.2">
      <c r="A328" t="s">
        <v>464</v>
      </c>
    </row>
    <row r="329" spans="1:1" x14ac:dyDescent="0.2">
      <c r="A329" t="s">
        <v>221</v>
      </c>
    </row>
    <row r="330" spans="1:1" x14ac:dyDescent="0.2">
      <c r="A330" t="s">
        <v>407</v>
      </c>
    </row>
    <row r="331" spans="1:1" x14ac:dyDescent="0.2">
      <c r="A331" t="s">
        <v>153</v>
      </c>
    </row>
    <row r="332" spans="1:1" x14ac:dyDescent="0.2">
      <c r="A332" t="s">
        <v>208</v>
      </c>
    </row>
    <row r="333" spans="1:1" x14ac:dyDescent="0.2">
      <c r="A333" t="s">
        <v>290</v>
      </c>
    </row>
    <row r="334" spans="1:1" x14ac:dyDescent="0.2">
      <c r="A334" t="s">
        <v>292</v>
      </c>
    </row>
    <row r="335" spans="1:1" x14ac:dyDescent="0.2">
      <c r="A335" t="s">
        <v>209</v>
      </c>
    </row>
    <row r="336" spans="1:1" x14ac:dyDescent="0.2">
      <c r="A336" t="s">
        <v>465</v>
      </c>
    </row>
    <row r="337" spans="1:1" x14ac:dyDescent="0.2">
      <c r="A337" t="s">
        <v>314</v>
      </c>
    </row>
    <row r="338" spans="1:1" x14ac:dyDescent="0.2">
      <c r="A338" t="s">
        <v>173</v>
      </c>
    </row>
    <row r="339" spans="1:1" x14ac:dyDescent="0.2">
      <c r="A339" t="s">
        <v>448</v>
      </c>
    </row>
    <row r="340" spans="1:1" x14ac:dyDescent="0.2">
      <c r="A340" t="s">
        <v>293</v>
      </c>
    </row>
    <row r="341" spans="1:1" x14ac:dyDescent="0.2">
      <c r="A341" t="s">
        <v>468</v>
      </c>
    </row>
    <row r="342" spans="1:1" x14ac:dyDescent="0.2">
      <c r="A342" t="s">
        <v>222</v>
      </c>
    </row>
    <row r="343" spans="1:1" x14ac:dyDescent="0.2">
      <c r="A343" t="s">
        <v>414</v>
      </c>
    </row>
    <row r="344" spans="1:1" x14ac:dyDescent="0.2">
      <c r="A344" t="s">
        <v>294</v>
      </c>
    </row>
    <row r="345" spans="1:1" x14ac:dyDescent="0.2">
      <c r="A345" t="s">
        <v>154</v>
      </c>
    </row>
    <row r="346" spans="1:1" x14ac:dyDescent="0.2">
      <c r="A346" t="s">
        <v>155</v>
      </c>
    </row>
    <row r="347" spans="1:1" x14ac:dyDescent="0.2">
      <c r="A347" t="s">
        <v>404</v>
      </c>
    </row>
    <row r="348" spans="1:1" x14ac:dyDescent="0.2">
      <c r="A348" t="s">
        <v>406</v>
      </c>
    </row>
    <row r="349" spans="1:1" x14ac:dyDescent="0.2">
      <c r="A349" t="s">
        <v>443</v>
      </c>
    </row>
    <row r="350" spans="1:1" x14ac:dyDescent="0.2">
      <c r="A350" t="s">
        <v>95</v>
      </c>
    </row>
    <row r="351" spans="1:1" x14ac:dyDescent="0.2">
      <c r="A351" t="s">
        <v>296</v>
      </c>
    </row>
    <row r="352" spans="1:1" x14ac:dyDescent="0.2">
      <c r="A352" t="s">
        <v>367</v>
      </c>
    </row>
    <row r="353" spans="1:1" x14ac:dyDescent="0.2">
      <c r="A353" t="s">
        <v>368</v>
      </c>
    </row>
    <row r="354" spans="1:1" x14ac:dyDescent="0.2">
      <c r="A354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Counties</vt:lpstr>
      <vt:lpstr>Crosswalk</vt:lpstr>
      <vt:lpstr>city_county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2022-12-05T19:12:00Z</dcterms:created>
  <dcterms:modified xsi:type="dcterms:W3CDTF">2023-05-01T22:37:53Z</dcterms:modified>
</cp:coreProperties>
</file>