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1_{4DB30378-9F6E-8249-8A4A-E92D8A6AE30E}" xr6:coauthVersionLast="47" xr6:coauthVersionMax="47" xr10:uidLastSave="{00000000-0000-0000-0000-000000000000}"/>
  <bookViews>
    <workbookView xWindow="0" yWindow="500" windowWidth="32460" windowHeight="20500" activeTab="1" xr2:uid="{F238D57F-E1CA-6145-9BDE-77E9755B2D31}"/>
  </bookViews>
  <sheets>
    <sheet name="Summary" sheetId="1" r:id="rId1"/>
    <sheet name="Bof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K9" i="2"/>
  <c r="J8" i="2"/>
  <c r="K8" i="2"/>
  <c r="J7" i="2"/>
  <c r="K7" i="2"/>
  <c r="J6" i="2"/>
  <c r="K6" i="2"/>
  <c r="J5" i="2"/>
  <c r="K5" i="2"/>
  <c r="J3" i="2"/>
  <c r="K3" i="2"/>
  <c r="J4" i="2"/>
  <c r="K4" i="2"/>
  <c r="K2" i="2"/>
  <c r="J2" i="2"/>
</calcChain>
</file>

<file path=xl/sharedStrings.xml><?xml version="1.0" encoding="utf-8"?>
<sst xmlns="http://schemas.openxmlformats.org/spreadsheetml/2006/main" count="91" uniqueCount="90">
  <si>
    <t>SCF</t>
  </si>
  <si>
    <t>California</t>
  </si>
  <si>
    <t>Pennsylvania</t>
  </si>
  <si>
    <t>Yellow Pages</t>
  </si>
  <si>
    <t>BofA Branches</t>
  </si>
  <si>
    <t>Amador County</t>
  </si>
  <si>
    <t>Barstow</t>
  </si>
  <si>
    <t>Beverly Hills</t>
  </si>
  <si>
    <t>Latest Listing Pre-1958</t>
  </si>
  <si>
    <t>Boron</t>
  </si>
  <si>
    <t>Butte County</t>
  </si>
  <si>
    <t>Calaveras County</t>
  </si>
  <si>
    <t>Campbell</t>
  </si>
  <si>
    <t>Carpinteria</t>
  </si>
  <si>
    <t>Clarksburg</t>
  </si>
  <si>
    <t>Clements</t>
  </si>
  <si>
    <t>Coachella</t>
  </si>
  <si>
    <t>Colton</t>
  </si>
  <si>
    <t>Colusa</t>
  </si>
  <si>
    <t>Contra Costa County</t>
  </si>
  <si>
    <t>Corona</t>
  </si>
  <si>
    <t>Dixon</t>
  </si>
  <si>
    <t>Fresno</t>
  </si>
  <si>
    <t>Fresno County</t>
  </si>
  <si>
    <t>Gilroy</t>
  </si>
  <si>
    <t>Glenn and Tehama Counties</t>
  </si>
  <si>
    <t>Hemet</t>
  </si>
  <si>
    <t>Humboldt County</t>
  </si>
  <si>
    <t>Huntington Beach</t>
  </si>
  <si>
    <t>Imperial County</t>
  </si>
  <si>
    <t>Kern County</t>
  </si>
  <si>
    <t>Laguna Beach</t>
  </si>
  <si>
    <t>Lake and Mendocino Counties</t>
  </si>
  <si>
    <t>Lake Arrowhead</t>
  </si>
  <si>
    <t>Lake Tahoe</t>
  </si>
  <si>
    <t>Lancaster</t>
  </si>
  <si>
    <t>Lodi</t>
  </si>
  <si>
    <t>Lompoc</t>
  </si>
  <si>
    <t>Los Altos</t>
  </si>
  <si>
    <t>Los Angeles (Western)</t>
  </si>
  <si>
    <t>Los Angeles Northeastern Section</t>
  </si>
  <si>
    <t>Los Angeles Northwestern Section</t>
  </si>
  <si>
    <t>Los Angeles Southern Section</t>
  </si>
  <si>
    <t>Los Gatos</t>
  </si>
  <si>
    <t>Marin County</t>
  </si>
  <si>
    <t xml:space="preserve">Monterey </t>
  </si>
  <si>
    <t>Morgan Hill</t>
  </si>
  <si>
    <t>Napa County</t>
  </si>
  <si>
    <t>Newhall</t>
  </si>
  <si>
    <t>Ontario</t>
  </si>
  <si>
    <t>Oxnard</t>
  </si>
  <si>
    <t>Palm Springs</t>
  </si>
  <si>
    <t>Palmdale</t>
  </si>
  <si>
    <t>Palo Alto</t>
  </si>
  <si>
    <t>Pomona</t>
  </si>
  <si>
    <t>Redlands</t>
  </si>
  <si>
    <t>Richmond</t>
  </si>
  <si>
    <t>Riverside</t>
  </si>
  <si>
    <t>Roseville</t>
  </si>
  <si>
    <t>Sacramento</t>
  </si>
  <si>
    <t>San Bernardino</t>
  </si>
  <si>
    <t>San Diego County</t>
  </si>
  <si>
    <t>San Jose</t>
  </si>
  <si>
    <t>San Luis Obispo County</t>
  </si>
  <si>
    <t>San Mateo County</t>
  </si>
  <si>
    <t>Santa Barbara</t>
  </si>
  <si>
    <t>Santa Cruz County</t>
  </si>
  <si>
    <t>Santa Maria</t>
  </si>
  <si>
    <t>Santa Paula</t>
  </si>
  <si>
    <t>Santa Ynez</t>
  </si>
  <si>
    <t>Shasta County</t>
  </si>
  <si>
    <t>Sonoma County</t>
  </si>
  <si>
    <t>Southern Alameda County</t>
  </si>
  <si>
    <t>Stanislaus County</t>
  </si>
  <si>
    <t>Los Angeles Central Area</t>
  </si>
  <si>
    <t>Orange County</t>
  </si>
  <si>
    <t>San Francisco</t>
  </si>
  <si>
    <t>Year</t>
  </si>
  <si>
    <t>Kings and Tulare Counties</t>
  </si>
  <si>
    <t>Lending Share</t>
  </si>
  <si>
    <t>CU Branches</t>
  </si>
  <si>
    <t>Credit Reporting Agencies</t>
  </si>
  <si>
    <t>Bank Branches</t>
  </si>
  <si>
    <t>Start Page</t>
  </si>
  <si>
    <t>Deposit Share</t>
  </si>
  <si>
    <t xml:space="preserve">Finco Branches </t>
  </si>
  <si>
    <t>Notes:</t>
  </si>
  <si>
    <t>Exclude "Loans" Section -- it's all double-counting</t>
  </si>
  <si>
    <t>S&amp;L branches</t>
  </si>
  <si>
    <t>"Financing" Section is only for misc. - exclude banks, CUs, and S&amp;Ls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</si>
</sst>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E807-BB01-EE45-9A44-B4B38E583229}">
  <dimension ref="A1:F11"/>
  <sheetViews>
    <sheetView workbookViewId="0">
      <selection activeCell="E2" sqref="E2:H74"/>
    </sheetView>
  </sheetViews>
  <sheetFormatPr baseColWidth="10" defaultRowHeight="16" x14ac:dyDescent="0.2"/>
  <cols>
    <col min="2" max="2" width="16.5" customWidth="1"/>
    <col min="4" max="4" width="13.6640625" customWidth="1"/>
    <col min="5" max="5" width="29.1640625" bestFit="1" customWidth="1"/>
    <col min="6" max="6" width="10.6640625" bestFit="1" customWidth="1"/>
    <col min="7" max="7" width="13.1640625" bestFit="1" customWidth="1"/>
    <col min="9" max="9" width="23.1640625" bestFit="1" customWidth="1"/>
  </cols>
  <sheetData>
    <row r="1" spans="1:6" x14ac:dyDescent="0.2">
      <c r="A1" s="1"/>
      <c r="B1" s="1" t="s">
        <v>0</v>
      </c>
      <c r="E1" s="1" t="s">
        <v>3</v>
      </c>
      <c r="F1" s="2" t="s">
        <v>8</v>
      </c>
    </row>
    <row r="2" spans="1:6" x14ac:dyDescent="0.2">
      <c r="B2" s="1" t="s">
        <v>1</v>
      </c>
    </row>
    <row r="11" spans="1:6" x14ac:dyDescent="0.2">
      <c r="B1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54B4-2FC8-3842-BC39-F5CCE40D73EC}">
  <dimension ref="A1:N73"/>
  <sheetViews>
    <sheetView tabSelected="1" workbookViewId="0">
      <selection activeCell="D10" sqref="D10"/>
    </sheetView>
  </sheetViews>
  <sheetFormatPr baseColWidth="10" defaultRowHeight="16" x14ac:dyDescent="0.2"/>
  <cols>
    <col min="1" max="1" width="29.6640625" bestFit="1" customWidth="1"/>
    <col min="2" max="2" width="5.1640625" bestFit="1" customWidth="1"/>
    <col min="3" max="3" width="9.6640625" bestFit="1" customWidth="1"/>
    <col min="4" max="4" width="18.1640625" bestFit="1" customWidth="1"/>
    <col min="5" max="5" width="13.1640625" bestFit="1" customWidth="1"/>
    <col min="6" max="6" width="22.6640625" bestFit="1" customWidth="1"/>
    <col min="7" max="7" width="11.5" bestFit="1" customWidth="1"/>
    <col min="8" max="8" width="14" bestFit="1" customWidth="1"/>
    <col min="9" max="9" width="12.1640625" bestFit="1" customWidth="1"/>
    <col min="10" max="10" width="12.6640625" bestFit="1" customWidth="1"/>
    <col min="11" max="11" width="19.1640625" bestFit="1" customWidth="1"/>
  </cols>
  <sheetData>
    <row r="1" spans="1:14" x14ac:dyDescent="0.2">
      <c r="A1" s="1" t="s">
        <v>1</v>
      </c>
      <c r="B1" s="1" t="s">
        <v>77</v>
      </c>
      <c r="C1" s="1" t="s">
        <v>83</v>
      </c>
      <c r="D1" s="1" t="s">
        <v>82</v>
      </c>
      <c r="E1" s="1" t="s">
        <v>4</v>
      </c>
      <c r="F1" s="1" t="s">
        <v>81</v>
      </c>
      <c r="G1" s="1" t="s">
        <v>80</v>
      </c>
      <c r="H1" s="1" t="s">
        <v>85</v>
      </c>
      <c r="I1" s="1" t="s">
        <v>88</v>
      </c>
      <c r="J1" s="1" t="s">
        <v>84</v>
      </c>
      <c r="K1" s="1" t="s">
        <v>79</v>
      </c>
      <c r="L1" s="1"/>
      <c r="M1" s="1" t="s">
        <v>86</v>
      </c>
      <c r="N1" s="1"/>
    </row>
    <row r="2" spans="1:14" x14ac:dyDescent="0.2">
      <c r="A2" t="s">
        <v>5</v>
      </c>
      <c r="B2">
        <v>1958</v>
      </c>
      <c r="C2">
        <v>432</v>
      </c>
      <c r="D2">
        <v>22</v>
      </c>
      <c r="E2">
        <v>12</v>
      </c>
      <c r="F2">
        <v>3</v>
      </c>
      <c r="G2">
        <v>0</v>
      </c>
      <c r="H2">
        <v>15</v>
      </c>
      <c r="I2">
        <v>5</v>
      </c>
      <c r="J2" s="3">
        <f>E2/(D2+G2+I2)</f>
        <v>0.44444444444444442</v>
      </c>
      <c r="K2" s="3">
        <f>E2/(D2+G2+H2+I2)</f>
        <v>0.2857142857142857</v>
      </c>
      <c r="M2" t="s">
        <v>89</v>
      </c>
    </row>
    <row r="3" spans="1:14" x14ac:dyDescent="0.2">
      <c r="A3" t="s">
        <v>6</v>
      </c>
      <c r="B3">
        <v>1958</v>
      </c>
      <c r="C3">
        <v>370</v>
      </c>
      <c r="D3">
        <v>5</v>
      </c>
      <c r="E3">
        <v>2</v>
      </c>
      <c r="F3">
        <v>3</v>
      </c>
      <c r="G3">
        <v>0</v>
      </c>
      <c r="H3">
        <v>4</v>
      </c>
      <c r="I3">
        <v>6</v>
      </c>
      <c r="J3" s="3">
        <f>E3/(D3+G3+I3)</f>
        <v>0.18181818181818182</v>
      </c>
      <c r="K3" s="3">
        <f>E3/(D3+G3+H3+I3)</f>
        <v>0.13333333333333333</v>
      </c>
      <c r="M3" t="s">
        <v>87</v>
      </c>
    </row>
    <row r="4" spans="1:14" x14ac:dyDescent="0.2">
      <c r="A4" t="s">
        <v>7</v>
      </c>
      <c r="B4">
        <v>1955</v>
      </c>
      <c r="C4">
        <v>292</v>
      </c>
      <c r="D4">
        <v>15</v>
      </c>
      <c r="E4">
        <v>7</v>
      </c>
      <c r="F4">
        <v>7</v>
      </c>
      <c r="G4">
        <v>0</v>
      </c>
      <c r="H4">
        <v>14</v>
      </c>
      <c r="I4">
        <v>9</v>
      </c>
      <c r="J4" s="3">
        <f>E4/(D4+G4+I4)</f>
        <v>0.29166666666666669</v>
      </c>
      <c r="K4" s="3">
        <f>E4/(D4+G4+H4+I4)</f>
        <v>0.18421052631578946</v>
      </c>
    </row>
    <row r="5" spans="1:14" x14ac:dyDescent="0.2">
      <c r="A5" t="s">
        <v>9</v>
      </c>
      <c r="B5">
        <v>1958</v>
      </c>
      <c r="C5">
        <v>281</v>
      </c>
      <c r="D5">
        <v>2</v>
      </c>
      <c r="E5">
        <v>1</v>
      </c>
      <c r="F5">
        <v>1</v>
      </c>
      <c r="G5">
        <v>3</v>
      </c>
      <c r="H5">
        <v>1</v>
      </c>
      <c r="I5">
        <v>1</v>
      </c>
      <c r="J5" s="3">
        <f>E5/(D5+G5+I5)</f>
        <v>0.16666666666666666</v>
      </c>
      <c r="K5" s="3">
        <f>E5/(D5+G5+H5+I5)</f>
        <v>0.14285714285714285</v>
      </c>
    </row>
    <row r="6" spans="1:14" x14ac:dyDescent="0.2">
      <c r="A6" t="s">
        <v>10</v>
      </c>
      <c r="B6">
        <v>1958</v>
      </c>
      <c r="C6">
        <v>95</v>
      </c>
      <c r="D6">
        <v>23</v>
      </c>
      <c r="E6">
        <v>13</v>
      </c>
      <c r="F6">
        <v>4</v>
      </c>
      <c r="G6">
        <v>1</v>
      </c>
      <c r="H6">
        <v>20</v>
      </c>
      <c r="I6">
        <v>6</v>
      </c>
      <c r="J6" s="3">
        <f>E6/(D6+G6+I6)</f>
        <v>0.43333333333333335</v>
      </c>
      <c r="K6" s="3">
        <f>E6/(D6+G6+H6+I6)</f>
        <v>0.26</v>
      </c>
    </row>
    <row r="7" spans="1:14" x14ac:dyDescent="0.2">
      <c r="A7" t="s">
        <v>11</v>
      </c>
      <c r="B7">
        <v>1958</v>
      </c>
      <c r="C7">
        <v>167</v>
      </c>
      <c r="D7">
        <v>12</v>
      </c>
      <c r="E7">
        <v>3</v>
      </c>
      <c r="F7">
        <v>4</v>
      </c>
      <c r="G7">
        <v>0</v>
      </c>
      <c r="H7">
        <v>3</v>
      </c>
      <c r="I7">
        <v>1</v>
      </c>
      <c r="J7" s="3">
        <f>E7/(D7+G7+I7)</f>
        <v>0.23076923076923078</v>
      </c>
      <c r="K7" s="3">
        <f>E7/(D7+G7+H7+I7)</f>
        <v>0.1875</v>
      </c>
    </row>
    <row r="8" spans="1:14" x14ac:dyDescent="0.2">
      <c r="A8" t="s">
        <v>12</v>
      </c>
      <c r="B8">
        <v>1958</v>
      </c>
      <c r="C8">
        <v>206</v>
      </c>
      <c r="D8">
        <v>7</v>
      </c>
      <c r="E8">
        <v>3</v>
      </c>
      <c r="F8">
        <v>2</v>
      </c>
      <c r="G8">
        <v>0</v>
      </c>
      <c r="H8">
        <v>8</v>
      </c>
      <c r="I8">
        <v>1</v>
      </c>
      <c r="J8" s="3">
        <f>E8/(D8+G8+I8)</f>
        <v>0.375</v>
      </c>
      <c r="K8" s="3">
        <f>E8/(D8+G8+H8+I8)</f>
        <v>0.1875</v>
      </c>
    </row>
    <row r="9" spans="1:14" x14ac:dyDescent="0.2">
      <c r="A9" t="s">
        <v>13</v>
      </c>
      <c r="B9">
        <v>1958</v>
      </c>
      <c r="C9">
        <v>422</v>
      </c>
      <c r="D9">
        <v>6</v>
      </c>
      <c r="E9">
        <v>1</v>
      </c>
      <c r="F9">
        <v>1</v>
      </c>
      <c r="G9">
        <v>0</v>
      </c>
      <c r="H9">
        <v>0</v>
      </c>
      <c r="I9">
        <v>2</v>
      </c>
      <c r="J9" s="3">
        <f>E9/(D9+G9+I9)</f>
        <v>0.125</v>
      </c>
      <c r="K9" s="3">
        <f>E9/(D9+G9+H9+I9)</f>
        <v>0.125</v>
      </c>
    </row>
    <row r="10" spans="1:14" x14ac:dyDescent="0.2">
      <c r="A10" t="s">
        <v>14</v>
      </c>
      <c r="B10">
        <v>1957</v>
      </c>
      <c r="C10">
        <v>219</v>
      </c>
      <c r="D10">
        <v>4</v>
      </c>
      <c r="E10">
        <v>2</v>
      </c>
    </row>
    <row r="11" spans="1:14" x14ac:dyDescent="0.2">
      <c r="A11" t="s">
        <v>15</v>
      </c>
      <c r="D11">
        <v>1</v>
      </c>
      <c r="E11">
        <v>0</v>
      </c>
    </row>
    <row r="12" spans="1:14" x14ac:dyDescent="0.2">
      <c r="A12" t="s">
        <v>16</v>
      </c>
      <c r="D12">
        <v>7</v>
      </c>
      <c r="E12">
        <v>2</v>
      </c>
    </row>
    <row r="13" spans="1:14" x14ac:dyDescent="0.2">
      <c r="A13" t="s">
        <v>17</v>
      </c>
      <c r="D13">
        <v>15</v>
      </c>
      <c r="E13">
        <v>10</v>
      </c>
    </row>
    <row r="14" spans="1:14" x14ac:dyDescent="0.2">
      <c r="A14" t="s">
        <v>18</v>
      </c>
      <c r="D14">
        <v>5</v>
      </c>
      <c r="E14">
        <v>3</v>
      </c>
    </row>
    <row r="15" spans="1:14" x14ac:dyDescent="0.2">
      <c r="A15" t="s">
        <v>19</v>
      </c>
      <c r="D15">
        <v>32</v>
      </c>
      <c r="E15">
        <v>11</v>
      </c>
    </row>
    <row r="16" spans="1:14" x14ac:dyDescent="0.2">
      <c r="A16" t="s">
        <v>20</v>
      </c>
      <c r="D16">
        <v>18</v>
      </c>
      <c r="E16">
        <v>17</v>
      </c>
    </row>
    <row r="17" spans="1:5" x14ac:dyDescent="0.2">
      <c r="A17" t="s">
        <v>21</v>
      </c>
      <c r="D17">
        <v>9</v>
      </c>
      <c r="E17">
        <v>5</v>
      </c>
    </row>
    <row r="18" spans="1:5" x14ac:dyDescent="0.2">
      <c r="A18" t="s">
        <v>22</v>
      </c>
      <c r="D18">
        <v>11</v>
      </c>
      <c r="E18">
        <v>1</v>
      </c>
    </row>
    <row r="19" spans="1:5" x14ac:dyDescent="0.2">
      <c r="A19" t="s">
        <v>23</v>
      </c>
      <c r="D19">
        <v>23</v>
      </c>
      <c r="E19">
        <v>11</v>
      </c>
    </row>
    <row r="20" spans="1:5" x14ac:dyDescent="0.2">
      <c r="A20" t="s">
        <v>24</v>
      </c>
    </row>
    <row r="21" spans="1:5" x14ac:dyDescent="0.2">
      <c r="A21" t="s">
        <v>25</v>
      </c>
    </row>
    <row r="22" spans="1:5" x14ac:dyDescent="0.2">
      <c r="A22" t="s">
        <v>26</v>
      </c>
    </row>
    <row r="23" spans="1:5" x14ac:dyDescent="0.2">
      <c r="A23" t="s">
        <v>27</v>
      </c>
    </row>
    <row r="24" spans="1:5" x14ac:dyDescent="0.2">
      <c r="A24" t="s">
        <v>28</v>
      </c>
    </row>
    <row r="25" spans="1:5" x14ac:dyDescent="0.2">
      <c r="A25" t="s">
        <v>29</v>
      </c>
    </row>
    <row r="26" spans="1:5" x14ac:dyDescent="0.2">
      <c r="A26" t="s">
        <v>30</v>
      </c>
    </row>
    <row r="27" spans="1:5" x14ac:dyDescent="0.2">
      <c r="A27" t="s">
        <v>78</v>
      </c>
    </row>
    <row r="28" spans="1:5" x14ac:dyDescent="0.2">
      <c r="A28" t="s">
        <v>31</v>
      </c>
    </row>
    <row r="29" spans="1:5" x14ac:dyDescent="0.2">
      <c r="A29" t="s">
        <v>32</v>
      </c>
    </row>
    <row r="30" spans="1:5" x14ac:dyDescent="0.2">
      <c r="A30" t="s">
        <v>33</v>
      </c>
    </row>
    <row r="31" spans="1:5" x14ac:dyDescent="0.2">
      <c r="A31" t="s">
        <v>34</v>
      </c>
    </row>
    <row r="32" spans="1:5" x14ac:dyDescent="0.2">
      <c r="A32" t="s">
        <v>35</v>
      </c>
    </row>
    <row r="33" spans="1:1" x14ac:dyDescent="0.2">
      <c r="A33" t="s">
        <v>36</v>
      </c>
    </row>
    <row r="34" spans="1:1" x14ac:dyDescent="0.2">
      <c r="A34" t="s">
        <v>37</v>
      </c>
    </row>
    <row r="35" spans="1:1" x14ac:dyDescent="0.2">
      <c r="A35" t="s">
        <v>38</v>
      </c>
    </row>
    <row r="36" spans="1:1" x14ac:dyDescent="0.2">
      <c r="A36" t="s">
        <v>39</v>
      </c>
    </row>
    <row r="37" spans="1:1" x14ac:dyDescent="0.2">
      <c r="A37" t="s">
        <v>74</v>
      </c>
    </row>
    <row r="38" spans="1:1" x14ac:dyDescent="0.2">
      <c r="A38" t="s">
        <v>40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3" spans="1:1" x14ac:dyDescent="0.2">
      <c r="A43" t="s">
        <v>45</v>
      </c>
    </row>
    <row r="44" spans="1:1" x14ac:dyDescent="0.2">
      <c r="A44" t="s">
        <v>46</v>
      </c>
    </row>
    <row r="45" spans="1:1" x14ac:dyDescent="0.2">
      <c r="A45" t="s">
        <v>47</v>
      </c>
    </row>
    <row r="46" spans="1:1" x14ac:dyDescent="0.2">
      <c r="A46" t="s">
        <v>48</v>
      </c>
    </row>
    <row r="47" spans="1:1" x14ac:dyDescent="0.2">
      <c r="A47" t="s">
        <v>49</v>
      </c>
    </row>
    <row r="48" spans="1:1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  <row r="56" spans="1:1" x14ac:dyDescent="0.2">
      <c r="A56" t="s">
        <v>58</v>
      </c>
    </row>
    <row r="57" spans="1:1" x14ac:dyDescent="0.2">
      <c r="A57" t="s">
        <v>59</v>
      </c>
    </row>
    <row r="58" spans="1:1" x14ac:dyDescent="0.2">
      <c r="A58" t="s">
        <v>60</v>
      </c>
    </row>
    <row r="59" spans="1:1" x14ac:dyDescent="0.2">
      <c r="A59" t="s">
        <v>61</v>
      </c>
    </row>
    <row r="60" spans="1:1" x14ac:dyDescent="0.2">
      <c r="A60" t="s">
        <v>62</v>
      </c>
    </row>
    <row r="61" spans="1:1" x14ac:dyDescent="0.2">
      <c r="A61" t="s">
        <v>63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66</v>
      </c>
    </row>
    <row r="65" spans="1:1" x14ac:dyDescent="0.2">
      <c r="A65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70</v>
      </c>
    </row>
    <row r="69" spans="1:1" x14ac:dyDescent="0.2">
      <c r="A69" t="s">
        <v>71</v>
      </c>
    </row>
    <row r="70" spans="1:1" x14ac:dyDescent="0.2">
      <c r="A70" t="s">
        <v>72</v>
      </c>
    </row>
    <row r="71" spans="1:1" x14ac:dyDescent="0.2">
      <c r="A71" t="s">
        <v>75</v>
      </c>
    </row>
    <row r="72" spans="1:1" x14ac:dyDescent="0.2">
      <c r="A72" t="s">
        <v>73</v>
      </c>
    </row>
    <row r="73" spans="1:1" x14ac:dyDescent="0.2">
      <c r="A73" t="s">
        <v>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BofA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2022-12-05T19:12:00Z</dcterms:created>
  <dcterms:modified xsi:type="dcterms:W3CDTF">2022-12-09T01:35:06Z</dcterms:modified>
</cp:coreProperties>
</file>